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oul Metro\Desktop\2026 AI 에이전트 관련 사업시행\0. 연구동아리 활동보고서\0. DB자료\"/>
    </mc:Choice>
  </mc:AlternateContent>
  <xr:revisionPtr revIDLastSave="0" documentId="13_ncr:1_{E075232F-4486-4C3F-99C1-8FC85EB7680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교체현황_DB" sheetId="2" r:id="rId1"/>
    <sheet name="고장심각도분류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29" i="2" l="1"/>
  <c r="O129" i="2"/>
  <c r="P129" i="2" s="1"/>
  <c r="N129" i="2"/>
  <c r="M129" i="2"/>
  <c r="T128" i="2"/>
  <c r="O128" i="2"/>
  <c r="P128" i="2" s="1"/>
  <c r="N128" i="2"/>
  <c r="M128" i="2"/>
  <c r="T127" i="2"/>
  <c r="O127" i="2"/>
  <c r="P127" i="2" s="1"/>
  <c r="N127" i="2"/>
  <c r="M127" i="2"/>
  <c r="T126" i="2"/>
  <c r="O126" i="2"/>
  <c r="P126" i="2" s="1"/>
  <c r="N126" i="2"/>
  <c r="M126" i="2"/>
  <c r="T125" i="2"/>
  <c r="O125" i="2"/>
  <c r="P125" i="2" s="1"/>
  <c r="N125" i="2"/>
  <c r="M125" i="2"/>
  <c r="T124" i="2"/>
  <c r="O124" i="2"/>
  <c r="P124" i="2" s="1"/>
  <c r="N124" i="2"/>
  <c r="M124" i="2"/>
  <c r="T123" i="2"/>
  <c r="O123" i="2"/>
  <c r="P123" i="2" s="1"/>
  <c r="N123" i="2"/>
  <c r="M123" i="2"/>
  <c r="T122" i="2"/>
  <c r="O122" i="2"/>
  <c r="P122" i="2" s="1"/>
  <c r="N122" i="2"/>
  <c r="M122" i="2"/>
  <c r="T121" i="2"/>
  <c r="O121" i="2"/>
  <c r="P121" i="2" s="1"/>
  <c r="N121" i="2"/>
  <c r="M121" i="2"/>
  <c r="T120" i="2"/>
  <c r="O120" i="2"/>
  <c r="P120" i="2" s="1"/>
  <c r="N120" i="2"/>
  <c r="M120" i="2"/>
  <c r="T119" i="2"/>
  <c r="O119" i="2"/>
  <c r="P119" i="2" s="1"/>
  <c r="N119" i="2"/>
  <c r="M119" i="2"/>
  <c r="T118" i="2"/>
  <c r="O118" i="2"/>
  <c r="P118" i="2" s="1"/>
  <c r="N118" i="2"/>
  <c r="M118" i="2"/>
  <c r="T117" i="2"/>
  <c r="O117" i="2"/>
  <c r="P117" i="2" s="1"/>
  <c r="N117" i="2"/>
  <c r="M117" i="2"/>
  <c r="T116" i="2"/>
  <c r="O116" i="2"/>
  <c r="P116" i="2" s="1"/>
  <c r="N116" i="2"/>
  <c r="M116" i="2"/>
  <c r="T115" i="2"/>
  <c r="O115" i="2"/>
  <c r="P115" i="2" s="1"/>
  <c r="N115" i="2"/>
  <c r="M115" i="2"/>
  <c r="T114" i="2"/>
  <c r="O114" i="2"/>
  <c r="P114" i="2" s="1"/>
  <c r="N114" i="2"/>
  <c r="M114" i="2"/>
  <c r="T113" i="2"/>
  <c r="O113" i="2"/>
  <c r="P113" i="2" s="1"/>
  <c r="N113" i="2"/>
  <c r="M113" i="2"/>
  <c r="T112" i="2"/>
  <c r="O112" i="2"/>
  <c r="P112" i="2" s="1"/>
  <c r="N112" i="2"/>
  <c r="M112" i="2"/>
  <c r="T111" i="2"/>
  <c r="O111" i="2"/>
  <c r="P111" i="2" s="1"/>
  <c r="N111" i="2"/>
  <c r="M111" i="2"/>
  <c r="T110" i="2"/>
  <c r="O110" i="2"/>
  <c r="P110" i="2" s="1"/>
  <c r="N110" i="2"/>
  <c r="M110" i="2"/>
  <c r="T109" i="2"/>
  <c r="O109" i="2"/>
  <c r="P109" i="2" s="1"/>
  <c r="N109" i="2"/>
  <c r="M109" i="2"/>
  <c r="T108" i="2"/>
  <c r="O108" i="2"/>
  <c r="P108" i="2" s="1"/>
  <c r="N108" i="2"/>
  <c r="M108" i="2"/>
  <c r="T107" i="2"/>
  <c r="O107" i="2"/>
  <c r="P107" i="2" s="1"/>
  <c r="N107" i="2"/>
  <c r="M107" i="2"/>
  <c r="T106" i="2"/>
  <c r="O106" i="2"/>
  <c r="P106" i="2" s="1"/>
  <c r="N106" i="2"/>
  <c r="M106" i="2"/>
  <c r="T105" i="2"/>
  <c r="O105" i="2"/>
  <c r="P105" i="2" s="1"/>
  <c r="N105" i="2"/>
  <c r="M105" i="2"/>
  <c r="T104" i="2"/>
  <c r="O104" i="2"/>
  <c r="P104" i="2" s="1"/>
  <c r="N104" i="2"/>
  <c r="M104" i="2"/>
  <c r="T103" i="2"/>
  <c r="O103" i="2"/>
  <c r="P103" i="2" s="1"/>
  <c r="N103" i="2"/>
  <c r="M103" i="2"/>
  <c r="T102" i="2"/>
  <c r="O102" i="2"/>
  <c r="P102" i="2" s="1"/>
  <c r="N102" i="2"/>
  <c r="M102" i="2"/>
  <c r="T101" i="2"/>
  <c r="O101" i="2"/>
  <c r="P101" i="2" s="1"/>
  <c r="N101" i="2"/>
  <c r="M101" i="2"/>
  <c r="T100" i="2"/>
  <c r="O100" i="2"/>
  <c r="P100" i="2" s="1"/>
  <c r="N100" i="2"/>
  <c r="M100" i="2"/>
  <c r="T99" i="2"/>
  <c r="O99" i="2"/>
  <c r="P99" i="2" s="1"/>
  <c r="N99" i="2"/>
  <c r="M99" i="2"/>
  <c r="T98" i="2"/>
  <c r="O98" i="2"/>
  <c r="P98" i="2" s="1"/>
  <c r="N98" i="2"/>
  <c r="M98" i="2"/>
  <c r="T97" i="2"/>
  <c r="O97" i="2"/>
  <c r="P97" i="2" s="1"/>
  <c r="N97" i="2"/>
  <c r="M97" i="2"/>
  <c r="T96" i="2"/>
  <c r="O96" i="2"/>
  <c r="P96" i="2" s="1"/>
  <c r="N96" i="2"/>
  <c r="M96" i="2"/>
  <c r="T95" i="2"/>
  <c r="O95" i="2"/>
  <c r="P95" i="2" s="1"/>
  <c r="N95" i="2"/>
  <c r="M95" i="2"/>
  <c r="T94" i="2"/>
  <c r="O94" i="2"/>
  <c r="P94" i="2" s="1"/>
  <c r="N94" i="2"/>
  <c r="M94" i="2"/>
  <c r="T93" i="2"/>
  <c r="O93" i="2"/>
  <c r="P93" i="2" s="1"/>
  <c r="N93" i="2"/>
  <c r="M93" i="2"/>
  <c r="T92" i="2"/>
  <c r="O92" i="2"/>
  <c r="P92" i="2" s="1"/>
  <c r="N92" i="2"/>
  <c r="M92" i="2"/>
  <c r="T91" i="2"/>
  <c r="O91" i="2"/>
  <c r="P91" i="2" s="1"/>
  <c r="N91" i="2"/>
  <c r="M91" i="2"/>
  <c r="T90" i="2"/>
  <c r="O90" i="2"/>
  <c r="P90" i="2" s="1"/>
  <c r="N90" i="2"/>
  <c r="M90" i="2"/>
  <c r="T89" i="2"/>
  <c r="O89" i="2"/>
  <c r="P89" i="2" s="1"/>
  <c r="N89" i="2"/>
  <c r="M89" i="2"/>
  <c r="T88" i="2"/>
  <c r="O88" i="2"/>
  <c r="P88" i="2" s="1"/>
  <c r="N88" i="2"/>
  <c r="M88" i="2"/>
  <c r="T87" i="2"/>
  <c r="O87" i="2"/>
  <c r="P87" i="2" s="1"/>
  <c r="N87" i="2"/>
  <c r="M87" i="2"/>
  <c r="T86" i="2"/>
  <c r="O86" i="2"/>
  <c r="P86" i="2" s="1"/>
  <c r="N86" i="2"/>
  <c r="M86" i="2"/>
  <c r="T85" i="2"/>
  <c r="O85" i="2"/>
  <c r="P85" i="2" s="1"/>
  <c r="N85" i="2"/>
  <c r="M85" i="2"/>
  <c r="T84" i="2"/>
  <c r="O84" i="2"/>
  <c r="P84" i="2" s="1"/>
  <c r="N84" i="2"/>
  <c r="M84" i="2"/>
  <c r="T83" i="2"/>
  <c r="O83" i="2"/>
  <c r="P83" i="2" s="1"/>
  <c r="N83" i="2"/>
  <c r="M83" i="2"/>
  <c r="T82" i="2"/>
  <c r="O82" i="2"/>
  <c r="P82" i="2" s="1"/>
  <c r="N82" i="2"/>
  <c r="M82" i="2"/>
  <c r="T81" i="2"/>
  <c r="O81" i="2"/>
  <c r="P81" i="2" s="1"/>
  <c r="N81" i="2"/>
  <c r="M81" i="2"/>
  <c r="T80" i="2"/>
  <c r="O80" i="2"/>
  <c r="P80" i="2" s="1"/>
  <c r="N80" i="2"/>
  <c r="M80" i="2"/>
  <c r="T79" i="2"/>
  <c r="O79" i="2"/>
  <c r="P79" i="2" s="1"/>
  <c r="N79" i="2"/>
  <c r="M79" i="2"/>
  <c r="T78" i="2"/>
  <c r="O78" i="2"/>
  <c r="P78" i="2" s="1"/>
  <c r="N78" i="2"/>
  <c r="M78" i="2"/>
  <c r="T77" i="2"/>
  <c r="O77" i="2"/>
  <c r="P77" i="2" s="1"/>
  <c r="N77" i="2"/>
  <c r="M77" i="2"/>
  <c r="T76" i="2"/>
  <c r="O76" i="2"/>
  <c r="P76" i="2" s="1"/>
  <c r="N76" i="2"/>
  <c r="M76" i="2"/>
  <c r="T75" i="2"/>
  <c r="O75" i="2"/>
  <c r="P75" i="2" s="1"/>
  <c r="N75" i="2"/>
  <c r="M75" i="2"/>
  <c r="T74" i="2"/>
  <c r="O74" i="2"/>
  <c r="P74" i="2" s="1"/>
  <c r="N74" i="2"/>
  <c r="M74" i="2"/>
  <c r="T73" i="2"/>
  <c r="O73" i="2"/>
  <c r="P73" i="2" s="1"/>
  <c r="N73" i="2"/>
  <c r="M73" i="2"/>
  <c r="T72" i="2"/>
  <c r="O72" i="2"/>
  <c r="P72" i="2" s="1"/>
  <c r="N72" i="2"/>
  <c r="M72" i="2"/>
  <c r="T71" i="2"/>
  <c r="O71" i="2"/>
  <c r="P71" i="2" s="1"/>
  <c r="N71" i="2"/>
  <c r="M71" i="2"/>
  <c r="T70" i="2"/>
  <c r="O70" i="2"/>
  <c r="P70" i="2" s="1"/>
  <c r="N70" i="2"/>
  <c r="M70" i="2"/>
  <c r="T69" i="2"/>
  <c r="O69" i="2"/>
  <c r="P69" i="2" s="1"/>
  <c r="N69" i="2"/>
  <c r="M69" i="2"/>
  <c r="T68" i="2"/>
  <c r="O68" i="2"/>
  <c r="P68" i="2" s="1"/>
  <c r="N68" i="2"/>
  <c r="M68" i="2"/>
  <c r="T67" i="2"/>
  <c r="O67" i="2"/>
  <c r="P67" i="2" s="1"/>
  <c r="N67" i="2"/>
  <c r="M67" i="2"/>
  <c r="T66" i="2"/>
  <c r="O66" i="2"/>
  <c r="P66" i="2" s="1"/>
  <c r="N66" i="2"/>
  <c r="M66" i="2"/>
  <c r="T65" i="2"/>
  <c r="O65" i="2"/>
  <c r="P65" i="2" s="1"/>
  <c r="N65" i="2"/>
  <c r="M65" i="2"/>
  <c r="T64" i="2"/>
  <c r="O64" i="2"/>
  <c r="P64" i="2" s="1"/>
  <c r="N64" i="2"/>
  <c r="M64" i="2"/>
  <c r="T63" i="2"/>
  <c r="O63" i="2"/>
  <c r="P63" i="2" s="1"/>
  <c r="N63" i="2"/>
  <c r="M63" i="2"/>
  <c r="T62" i="2"/>
  <c r="O62" i="2"/>
  <c r="P62" i="2" s="1"/>
  <c r="N62" i="2"/>
  <c r="M62" i="2"/>
  <c r="T61" i="2"/>
  <c r="O61" i="2"/>
  <c r="P61" i="2" s="1"/>
  <c r="N61" i="2"/>
  <c r="M61" i="2"/>
  <c r="T60" i="2"/>
  <c r="O60" i="2"/>
  <c r="P60" i="2" s="1"/>
  <c r="N60" i="2"/>
  <c r="M60" i="2"/>
  <c r="T59" i="2"/>
  <c r="O59" i="2"/>
  <c r="P59" i="2" s="1"/>
  <c r="N59" i="2"/>
  <c r="M59" i="2"/>
  <c r="T58" i="2"/>
  <c r="O58" i="2"/>
  <c r="P58" i="2" s="1"/>
  <c r="N58" i="2"/>
  <c r="M58" i="2"/>
  <c r="T57" i="2"/>
  <c r="O57" i="2"/>
  <c r="P57" i="2" s="1"/>
  <c r="N57" i="2"/>
  <c r="M57" i="2"/>
  <c r="T56" i="2"/>
  <c r="O56" i="2"/>
  <c r="P56" i="2" s="1"/>
  <c r="N56" i="2"/>
  <c r="M56" i="2"/>
  <c r="T55" i="2"/>
  <c r="O55" i="2"/>
  <c r="P55" i="2" s="1"/>
  <c r="N55" i="2"/>
  <c r="M55" i="2"/>
  <c r="T54" i="2"/>
  <c r="O54" i="2"/>
  <c r="P54" i="2" s="1"/>
  <c r="N54" i="2"/>
  <c r="M54" i="2"/>
  <c r="T53" i="2"/>
  <c r="O53" i="2"/>
  <c r="P53" i="2" s="1"/>
  <c r="N53" i="2"/>
  <c r="M53" i="2"/>
  <c r="T52" i="2"/>
  <c r="O52" i="2"/>
  <c r="P52" i="2" s="1"/>
  <c r="N52" i="2"/>
  <c r="M52" i="2"/>
  <c r="T51" i="2"/>
  <c r="O51" i="2"/>
  <c r="P51" i="2" s="1"/>
  <c r="N51" i="2"/>
  <c r="M51" i="2"/>
  <c r="T50" i="2"/>
  <c r="O50" i="2"/>
  <c r="P50" i="2" s="1"/>
  <c r="N50" i="2"/>
  <c r="M50" i="2"/>
  <c r="T49" i="2"/>
  <c r="O49" i="2"/>
  <c r="P49" i="2" s="1"/>
  <c r="N49" i="2"/>
  <c r="M49" i="2"/>
  <c r="T48" i="2"/>
  <c r="O48" i="2"/>
  <c r="P48" i="2" s="1"/>
  <c r="N48" i="2"/>
  <c r="M48" i="2"/>
  <c r="T47" i="2"/>
  <c r="O47" i="2"/>
  <c r="P47" i="2" s="1"/>
  <c r="N47" i="2"/>
  <c r="M47" i="2"/>
  <c r="T46" i="2"/>
  <c r="O46" i="2"/>
  <c r="P46" i="2" s="1"/>
  <c r="N46" i="2"/>
  <c r="M46" i="2"/>
  <c r="T45" i="2"/>
  <c r="O45" i="2"/>
  <c r="P45" i="2" s="1"/>
  <c r="N45" i="2"/>
  <c r="M45" i="2"/>
  <c r="T44" i="2"/>
  <c r="O44" i="2"/>
  <c r="P44" i="2" s="1"/>
  <c r="N44" i="2"/>
  <c r="M44" i="2"/>
  <c r="T43" i="2"/>
  <c r="O43" i="2"/>
  <c r="P43" i="2" s="1"/>
  <c r="N43" i="2"/>
  <c r="M43" i="2"/>
  <c r="T42" i="2"/>
  <c r="O42" i="2"/>
  <c r="P42" i="2" s="1"/>
  <c r="N42" i="2"/>
  <c r="M42" i="2"/>
  <c r="T41" i="2"/>
  <c r="O41" i="2"/>
  <c r="P41" i="2" s="1"/>
  <c r="N41" i="2"/>
  <c r="M41" i="2"/>
  <c r="T40" i="2"/>
  <c r="O40" i="2"/>
  <c r="P40" i="2" s="1"/>
  <c r="N40" i="2"/>
  <c r="M40" i="2"/>
  <c r="T39" i="2"/>
  <c r="O39" i="2"/>
  <c r="P39" i="2" s="1"/>
  <c r="N39" i="2"/>
  <c r="M39" i="2"/>
  <c r="T38" i="2"/>
  <c r="O38" i="2"/>
  <c r="P38" i="2" s="1"/>
  <c r="N38" i="2"/>
  <c r="M38" i="2"/>
  <c r="T37" i="2"/>
  <c r="O37" i="2"/>
  <c r="P37" i="2" s="1"/>
  <c r="N37" i="2"/>
  <c r="M37" i="2"/>
  <c r="T36" i="2"/>
  <c r="O36" i="2"/>
  <c r="P36" i="2" s="1"/>
  <c r="N36" i="2"/>
  <c r="M36" i="2"/>
  <c r="T35" i="2"/>
  <c r="O35" i="2"/>
  <c r="P35" i="2" s="1"/>
  <c r="N35" i="2"/>
  <c r="M35" i="2"/>
  <c r="T34" i="2"/>
  <c r="O34" i="2"/>
  <c r="P34" i="2" s="1"/>
  <c r="N34" i="2"/>
  <c r="M34" i="2"/>
  <c r="T33" i="2"/>
  <c r="O33" i="2"/>
  <c r="P33" i="2" s="1"/>
  <c r="N33" i="2"/>
  <c r="M33" i="2"/>
  <c r="T32" i="2"/>
  <c r="O32" i="2"/>
  <c r="P32" i="2" s="1"/>
  <c r="N32" i="2"/>
  <c r="M32" i="2"/>
  <c r="T31" i="2"/>
  <c r="O31" i="2"/>
  <c r="P31" i="2" s="1"/>
  <c r="N31" i="2"/>
  <c r="M31" i="2"/>
  <c r="T30" i="2"/>
  <c r="O30" i="2"/>
  <c r="P30" i="2" s="1"/>
  <c r="N30" i="2"/>
  <c r="M30" i="2"/>
  <c r="T29" i="2"/>
  <c r="O29" i="2"/>
  <c r="P29" i="2" s="1"/>
  <c r="N29" i="2"/>
  <c r="M29" i="2"/>
  <c r="T28" i="2"/>
  <c r="O28" i="2"/>
  <c r="P28" i="2" s="1"/>
  <c r="N28" i="2"/>
  <c r="M28" i="2"/>
  <c r="T27" i="2"/>
  <c r="O27" i="2"/>
  <c r="P27" i="2" s="1"/>
  <c r="N27" i="2"/>
  <c r="M27" i="2"/>
  <c r="T26" i="2"/>
  <c r="O26" i="2"/>
  <c r="P26" i="2" s="1"/>
  <c r="N26" i="2"/>
  <c r="M26" i="2"/>
  <c r="T25" i="2"/>
  <c r="O25" i="2"/>
  <c r="P25" i="2" s="1"/>
  <c r="N25" i="2"/>
  <c r="M25" i="2"/>
  <c r="T24" i="2"/>
  <c r="O24" i="2"/>
  <c r="P24" i="2" s="1"/>
  <c r="N24" i="2"/>
  <c r="M24" i="2"/>
  <c r="T23" i="2"/>
  <c r="O23" i="2"/>
  <c r="P23" i="2" s="1"/>
  <c r="N23" i="2"/>
  <c r="M23" i="2"/>
  <c r="T22" i="2"/>
  <c r="O22" i="2"/>
  <c r="P22" i="2" s="1"/>
  <c r="N22" i="2"/>
  <c r="M22" i="2"/>
  <c r="T21" i="2"/>
  <c r="O21" i="2"/>
  <c r="P21" i="2" s="1"/>
  <c r="N21" i="2"/>
  <c r="M21" i="2"/>
  <c r="T20" i="2"/>
  <c r="O20" i="2"/>
  <c r="P20" i="2" s="1"/>
  <c r="N20" i="2"/>
  <c r="M20" i="2"/>
  <c r="T19" i="2"/>
  <c r="O19" i="2"/>
  <c r="P19" i="2" s="1"/>
  <c r="N19" i="2"/>
  <c r="M19" i="2"/>
  <c r="T18" i="2"/>
  <c r="O18" i="2"/>
  <c r="P18" i="2" s="1"/>
  <c r="N18" i="2"/>
  <c r="M18" i="2"/>
  <c r="T17" i="2"/>
  <c r="O17" i="2"/>
  <c r="P17" i="2" s="1"/>
  <c r="N17" i="2"/>
  <c r="M17" i="2"/>
  <c r="T16" i="2"/>
  <c r="O16" i="2"/>
  <c r="P16" i="2" s="1"/>
  <c r="N16" i="2"/>
  <c r="M16" i="2"/>
  <c r="T15" i="2"/>
  <c r="O15" i="2"/>
  <c r="P15" i="2" s="1"/>
  <c r="N15" i="2"/>
  <c r="M15" i="2"/>
  <c r="T14" i="2"/>
  <c r="O14" i="2"/>
  <c r="P14" i="2" s="1"/>
  <c r="N14" i="2"/>
  <c r="M14" i="2"/>
  <c r="T13" i="2"/>
  <c r="O13" i="2"/>
  <c r="P13" i="2" s="1"/>
  <c r="N13" i="2"/>
  <c r="M13" i="2"/>
  <c r="T12" i="2"/>
  <c r="O12" i="2"/>
  <c r="P12" i="2" s="1"/>
  <c r="N12" i="2"/>
  <c r="M12" i="2"/>
  <c r="T11" i="2"/>
  <c r="O11" i="2"/>
  <c r="P11" i="2" s="1"/>
  <c r="N11" i="2"/>
  <c r="M11" i="2"/>
  <c r="T10" i="2"/>
  <c r="O10" i="2"/>
  <c r="P10" i="2" s="1"/>
  <c r="N10" i="2"/>
  <c r="M10" i="2"/>
  <c r="T9" i="2"/>
  <c r="O9" i="2"/>
  <c r="P9" i="2" s="1"/>
  <c r="N9" i="2"/>
  <c r="M9" i="2"/>
  <c r="T8" i="2"/>
  <c r="O8" i="2"/>
  <c r="P8" i="2" s="1"/>
  <c r="N8" i="2"/>
  <c r="M8" i="2"/>
  <c r="T7" i="2"/>
  <c r="O7" i="2"/>
  <c r="P7" i="2" s="1"/>
  <c r="N7" i="2"/>
  <c r="M7" i="2"/>
  <c r="T6" i="2"/>
  <c r="O6" i="2"/>
  <c r="P6" i="2" s="1"/>
  <c r="N6" i="2"/>
  <c r="M6" i="2"/>
  <c r="T5" i="2"/>
  <c r="O5" i="2"/>
  <c r="P5" i="2" s="1"/>
  <c r="N5" i="2"/>
  <c r="M5" i="2"/>
  <c r="T4" i="2"/>
  <c r="O4" i="2"/>
  <c r="P4" i="2" s="1"/>
  <c r="N4" i="2"/>
  <c r="M4" i="2"/>
  <c r="T3" i="2"/>
  <c r="O3" i="2"/>
  <c r="P3" i="2" s="1"/>
  <c r="N3" i="2"/>
  <c r="M3" i="2"/>
  <c r="T2" i="2"/>
  <c r="O2" i="2"/>
  <c r="P2" i="2" s="1"/>
  <c r="N2" i="2"/>
  <c r="M2" i="2"/>
</calcChain>
</file>

<file path=xl/sharedStrings.xml><?xml version="1.0" encoding="utf-8"?>
<sst xmlns="http://schemas.openxmlformats.org/spreadsheetml/2006/main" count="1046" uniqueCount="424">
  <si>
    <t>고장코드</t>
  </si>
  <si>
    <t>표준고장유형</t>
  </si>
  <si>
    <t>심각도</t>
  </si>
  <si>
    <t>위험점수</t>
  </si>
  <si>
    <t>표시색</t>
  </si>
  <si>
    <t>체크박스/선택 기준</t>
  </si>
  <si>
    <t>대표 키워드</t>
  </si>
  <si>
    <t>비고</t>
  </si>
  <si>
    <t>취거품상태_선택목록</t>
  </si>
  <si>
    <t>설명</t>
  </si>
  <si>
    <t>FC00</t>
  </si>
  <si>
    <t>정기·순환교체</t>
  </si>
  <si>
    <t>회색</t>
  </si>
  <si>
    <t>고장성 낮음</t>
  </si>
  <si>
    <t>정기, 순환, 예방, 수선예비품 순환</t>
  </si>
  <si>
    <t>위험점수 0점</t>
  </si>
  <si>
    <t>정상/재사용가능</t>
  </si>
  <si>
    <t>육안 및 기본점검 결과 재사용 가능</t>
  </si>
  <si>
    <t>FC01</t>
  </si>
  <si>
    <t>정류자·브러쉬 경미 이상</t>
  </si>
  <si>
    <t>초록</t>
  </si>
  <si>
    <t>경미 이상</t>
  </si>
  <si>
    <t>정류자 그을림, MOCD, 브러쉬홀더 마모한도, 브러쉬 흠집, 흠집</t>
  </si>
  <si>
    <t>점검/추적</t>
  </si>
  <si>
    <t>정비필요</t>
  </si>
  <si>
    <t>정비 후 재사용 가능성 있음</t>
  </si>
  <si>
    <t>FC02</t>
  </si>
  <si>
    <t>절연저항·물유입·세이프티 이상</t>
  </si>
  <si>
    <t>연두</t>
  </si>
  <si>
    <t>주의</t>
  </si>
  <si>
    <t>절연저항 불량, 절연불량, 물유입, 세이프티 너트, GR</t>
  </si>
  <si>
    <t>주의 관찰</t>
  </si>
  <si>
    <t>정비완료</t>
  </si>
  <si>
    <t>정비 완료 후 예비품 또는 재사용 가능</t>
  </si>
  <si>
    <t>FC03</t>
  </si>
  <si>
    <t>브러쉬홀더 열화·계자코일 단락</t>
  </si>
  <si>
    <t>노랑</t>
  </si>
  <si>
    <t>중간위험</t>
  </si>
  <si>
    <t>브러쉬홀더 열화, 홀더 열화, 계자 코일 단락, 계자코일 단락</t>
  </si>
  <si>
    <t>고장성 교체</t>
  </si>
  <si>
    <t>정비불가</t>
  </si>
  <si>
    <t>수리/정비 불가 판정</t>
  </si>
  <si>
    <t>FC04</t>
  </si>
  <si>
    <t>리드선 절손·열화</t>
  </si>
  <si>
    <t>주황</t>
  </si>
  <si>
    <t>고위험</t>
  </si>
  <si>
    <t>리드선 절손, 리드선 열화, 절손 및 열화</t>
  </si>
  <si>
    <t>우선 점검</t>
  </si>
  <si>
    <t>폐기/불용</t>
  </si>
  <si>
    <t>폐기 또는 불용 처리 대상</t>
  </si>
  <si>
    <t>FC05</t>
  </si>
  <si>
    <t>절연파괴·소손·F/O</t>
  </si>
  <si>
    <t>빨강</t>
  </si>
  <si>
    <t>치명</t>
  </si>
  <si>
    <t>정류자 F/O, 계자 F/O, 절연파괴, 접지 소손, 접지소손, 고압배선 소손, 소손, 폐기, 브러쉬절손, 눈유입</t>
  </si>
  <si>
    <t>우선 교체/불용 검토</t>
  </si>
  <si>
    <t>예비품전환</t>
  </si>
  <si>
    <t>예비품으로 전환 또는 보관</t>
  </si>
  <si>
    <t>FC99</t>
  </si>
  <si>
    <t>기타</t>
  </si>
  <si>
    <t>표준 유형 외</t>
  </si>
  <si>
    <t>필요 시 표준유형으로 재분류</t>
  </si>
  <si>
    <t>현차취부</t>
  </si>
  <si>
    <t>타 편성 또는 동일 편성에 취부</t>
  </si>
  <si>
    <t>확인필요</t>
  </si>
  <si>
    <t>자료상태 확인 필요</t>
  </si>
  <si>
    <t>표준 상태 외 별도 기재 필요</t>
  </si>
  <si>
    <t>교체ID</t>
  </si>
  <si>
    <t>교체일자</t>
  </si>
  <si>
    <t>편성</t>
  </si>
  <si>
    <t>차호</t>
  </si>
  <si>
    <t>위치</t>
  </si>
  <si>
    <t>취거TM_시리얼</t>
  </si>
  <si>
    <t>취거TM_제작년도</t>
  </si>
  <si>
    <t>취거TM_제조사</t>
  </si>
  <si>
    <t>부착TM_시리얼</t>
  </si>
  <si>
    <t>부착TM_제작년도</t>
  </si>
  <si>
    <t>부착TM_제조사</t>
  </si>
  <si>
    <t>고장유형(선택)</t>
  </si>
  <si>
    <t>고장코드(자동)</t>
  </si>
  <si>
    <t>심각도(자동)</t>
  </si>
  <si>
    <t>위험점수(자동)</t>
  </si>
  <si>
    <t>고장성교체여부(자동)</t>
  </si>
  <si>
    <t>세부 고장내용</t>
  </si>
  <si>
    <t>취거품 상태(선택)</t>
  </si>
  <si>
    <t>취거품 상태/조치비고</t>
  </si>
  <si>
    <t>데이터검토(자동)</t>
  </si>
  <si>
    <t>RP-0001</t>
  </si>
  <si>
    <t>88TWDH073</t>
  </si>
  <si>
    <t>현대중공업</t>
  </si>
  <si>
    <t>88091-48</t>
  </si>
  <si>
    <t>대우중공업</t>
  </si>
  <si>
    <t>눈유입, 정류자 그을림, 접지 소손</t>
  </si>
  <si>
    <t>RP-0002</t>
  </si>
  <si>
    <t>296638-17</t>
  </si>
  <si>
    <t>히타치</t>
  </si>
  <si>
    <t>296638-19</t>
  </si>
  <si>
    <t>눈유입(절연파괴)</t>
  </si>
  <si>
    <t>정비불가(절연파괴, 폐기)</t>
  </si>
  <si>
    <t>RP-0003</t>
  </si>
  <si>
    <t>88091-57</t>
  </si>
  <si>
    <t>296633-10</t>
  </si>
  <si>
    <t>접지 소손</t>
  </si>
  <si>
    <t>RP-0004</t>
  </si>
  <si>
    <t>88091-59</t>
  </si>
  <si>
    <t>도시바</t>
  </si>
  <si>
    <t>홀더 열화</t>
  </si>
  <si>
    <t>RP-0005</t>
  </si>
  <si>
    <t>296634-9</t>
  </si>
  <si>
    <t>92TWDH050</t>
  </si>
  <si>
    <t>RP-0006</t>
  </si>
  <si>
    <t>92TWDH048</t>
  </si>
  <si>
    <t>92TWDH063</t>
  </si>
  <si>
    <t>RP-0007</t>
  </si>
  <si>
    <t>RP-0008</t>
  </si>
  <si>
    <t>RP-0009</t>
  </si>
  <si>
    <t>절연파괴</t>
  </si>
  <si>
    <t>RP-0010</t>
  </si>
  <si>
    <t>정기</t>
  </si>
  <si>
    <t>88TWDH116</t>
  </si>
  <si>
    <t>RP-0011</t>
  </si>
  <si>
    <t>296640-11</t>
  </si>
  <si>
    <t>RP-0012</t>
  </si>
  <si>
    <t>98TWDH398</t>
  </si>
  <si>
    <t>95TWDH297</t>
  </si>
  <si>
    <t>RP-0013</t>
  </si>
  <si>
    <t>RP-0014</t>
  </si>
  <si>
    <t>89TWDH037</t>
  </si>
  <si>
    <t>고압배선 소손(절연파괴로 폐기)</t>
  </si>
  <si>
    <t>RP-0015</t>
  </si>
  <si>
    <t>RP-0016</t>
  </si>
  <si>
    <t>88091-67</t>
  </si>
  <si>
    <t>RP-0017</t>
  </si>
  <si>
    <t>88TWDH113</t>
  </si>
  <si>
    <t>297207-11</t>
  </si>
  <si>
    <t>RP-0018</t>
  </si>
  <si>
    <t>88091-55</t>
  </si>
  <si>
    <t>116편성 7호차 TM 취거하여 취부</t>
  </si>
  <si>
    <t>RP-0019</t>
  </si>
  <si>
    <t>94101-88</t>
  </si>
  <si>
    <t>RP-0020</t>
  </si>
  <si>
    <t>미쓰비시</t>
  </si>
  <si>
    <t>RP-0021</t>
  </si>
  <si>
    <t>297207-4</t>
  </si>
  <si>
    <t>접지소손</t>
  </si>
  <si>
    <t>RP-0022</t>
  </si>
  <si>
    <t>-</t>
  </si>
  <si>
    <t>RP-0023</t>
  </si>
  <si>
    <t>RP-0024</t>
  </si>
  <si>
    <t>RP-0025</t>
  </si>
  <si>
    <t>RP-0026</t>
  </si>
  <si>
    <t>88091-59(2위 -&gt; 1위 이동) / 2위 296634-9 취부</t>
  </si>
  <si>
    <t>RP-0027</t>
  </si>
  <si>
    <t>브러쉬홀더 리드선 절손 및 열화, 정류자 F/O</t>
  </si>
  <si>
    <t>RP-0028</t>
  </si>
  <si>
    <t>87TWDH047</t>
  </si>
  <si>
    <t>접지 소손, 정류자 F/O</t>
  </si>
  <si>
    <t>RP-0029</t>
  </si>
  <si>
    <t>절연파괴, 정류자 F/O</t>
  </si>
  <si>
    <t>RP-0030</t>
  </si>
  <si>
    <t>절연불량 9M옴</t>
  </si>
  <si>
    <t>정비불가(절연파괴)</t>
  </si>
  <si>
    <t>RP-0031</t>
  </si>
  <si>
    <t>RP-0032</t>
  </si>
  <si>
    <t>정류자 F/O</t>
  </si>
  <si>
    <t>RP-0033</t>
  </si>
  <si>
    <t>88091-87</t>
  </si>
  <si>
    <t>홀더 열화, 절연저항 양호</t>
  </si>
  <si>
    <t>RP-0034</t>
  </si>
  <si>
    <t>296637-8</t>
  </si>
  <si>
    <t>RP-0035</t>
  </si>
  <si>
    <t>88TWDH103</t>
  </si>
  <si>
    <t>절연저항 불량, 계자 F/O</t>
  </si>
  <si>
    <t>정비불가(절연파괴), 111편성 TM사용</t>
  </si>
  <si>
    <t>RP-0036</t>
  </si>
  <si>
    <t>96TWDH244</t>
  </si>
  <si>
    <t>절연저항 불량</t>
  </si>
  <si>
    <t>111편성 TM사용</t>
  </si>
  <si>
    <t>RP-0037</t>
  </si>
  <si>
    <t>예비품 부족으로 111편성 TM사용</t>
  </si>
  <si>
    <t>RP-0038</t>
  </si>
  <si>
    <t>RP-0039</t>
  </si>
  <si>
    <t>88TWDH099</t>
  </si>
  <si>
    <t>RP-0040</t>
  </si>
  <si>
    <t>87TWDH043</t>
  </si>
  <si>
    <t>RP-0041</t>
  </si>
  <si>
    <t>S07-603</t>
  </si>
  <si>
    <t>현대로템</t>
  </si>
  <si>
    <t>S07-403</t>
  </si>
  <si>
    <t>계자 코일 단락</t>
  </si>
  <si>
    <t>외주수선 예정</t>
  </si>
  <si>
    <t>RP-0042</t>
  </si>
  <si>
    <t>98TSDH282</t>
  </si>
  <si>
    <t>98TSDH280</t>
  </si>
  <si>
    <t>RP-0043</t>
  </si>
  <si>
    <t>98TWDH393</t>
  </si>
  <si>
    <t>RP-0044</t>
  </si>
  <si>
    <t>98TWDH395</t>
  </si>
  <si>
    <t>브러시홀더 리드선 절손 및 열화, 정류자 F/O</t>
  </si>
  <si>
    <t>정비불가(정류자면 손상)</t>
  </si>
  <si>
    <t>RP-0045</t>
  </si>
  <si>
    <t>94101-33</t>
  </si>
  <si>
    <t>3, 4TM을 1, 2TM으로 이동</t>
  </si>
  <si>
    <t>RP-0046</t>
  </si>
  <si>
    <t>95111-45</t>
  </si>
  <si>
    <t>3, 4TM에 수선품 취부</t>
  </si>
  <si>
    <t>RP-0047</t>
  </si>
  <si>
    <t>S07-456</t>
  </si>
  <si>
    <t>S07-378</t>
  </si>
  <si>
    <t>MOCD 발생, 상태확인 예정</t>
  </si>
  <si>
    <t>RP-0048</t>
  </si>
  <si>
    <t>95111-04</t>
  </si>
  <si>
    <t>접지 소손, 정류자 F/O, 물유입</t>
  </si>
  <si>
    <t>RP-0049</t>
  </si>
  <si>
    <t>95111-35</t>
  </si>
  <si>
    <t>중정비 시 교체(정기조)</t>
  </si>
  <si>
    <t>RP-0050</t>
  </si>
  <si>
    <t>95111-51</t>
  </si>
  <si>
    <t>RP-0051</t>
  </si>
  <si>
    <t>92TWDH076</t>
  </si>
  <si>
    <t>RP-0052</t>
  </si>
  <si>
    <t>91092-20</t>
  </si>
  <si>
    <t>정류자 F/O, 브러쉬 절손(2, 4위)</t>
  </si>
  <si>
    <t>xx년 LH</t>
  </si>
  <si>
    <t>RP-0053</t>
  </si>
  <si>
    <t>296633-9</t>
  </si>
  <si>
    <t>94101-5</t>
  </si>
  <si>
    <t>브러쉬홀더 절손(상부 좌측)</t>
  </si>
  <si>
    <t>RP-0054</t>
  </si>
  <si>
    <t>862214-5</t>
  </si>
  <si>
    <t>브러쉬홀더 열화</t>
  </si>
  <si>
    <t>월상 11/18 시행</t>
  </si>
  <si>
    <t>RP-0055</t>
  </si>
  <si>
    <t>96TWDH245</t>
  </si>
  <si>
    <t>93TWDH150</t>
  </si>
  <si>
    <t>브러쉬홀더 절손 및 용융 RH(-)</t>
  </si>
  <si>
    <t>RP-0056</t>
  </si>
  <si>
    <t>98TWDH394</t>
  </si>
  <si>
    <t>98TWDH394 계자 손상흔적, 정비불가(외부업체 문의)</t>
  </si>
  <si>
    <t>RP-0057</t>
  </si>
  <si>
    <t>296632-1</t>
  </si>
  <si>
    <t>95111-07</t>
  </si>
  <si>
    <t>브러쉬홀더 절손 및 용융 LH(+)</t>
  </si>
  <si>
    <t>RP-0058</t>
  </si>
  <si>
    <t>파워시험 시 1호차 TM F/O</t>
  </si>
  <si>
    <t>RP-0059</t>
  </si>
  <si>
    <t>RP-0060</t>
  </si>
  <si>
    <t>296638-10</t>
  </si>
  <si>
    <t>RP-0061</t>
  </si>
  <si>
    <t>88091-30</t>
  </si>
  <si>
    <t>계자 코일 단락, 정비불가</t>
  </si>
  <si>
    <t>RP-0062</t>
  </si>
  <si>
    <t>297309-3</t>
  </si>
  <si>
    <t>정류자면 전마모, 브러쉬홀더 파손</t>
  </si>
  <si>
    <t>RP-0063</t>
  </si>
  <si>
    <t>계자 보극선 코일단락</t>
  </si>
  <si>
    <t>계자 보극선 단락, 외주정비 필요</t>
  </si>
  <si>
    <t>RP-0064</t>
  </si>
  <si>
    <t>이력문제로 검수팀 교환 요청</t>
  </si>
  <si>
    <t>RP-0065</t>
  </si>
  <si>
    <t>2,4위 브러쉬홀더 절손 및 용융 LH(+)</t>
  </si>
  <si>
    <t>xx년 LH(우리)</t>
  </si>
  <si>
    <t>RP-0066</t>
  </si>
  <si>
    <t>96TWDH241</t>
  </si>
  <si>
    <t>22년 LH</t>
  </si>
  <si>
    <t>RP-0067</t>
  </si>
  <si>
    <t>88091-73</t>
  </si>
  <si>
    <t>1,3위 브러쉬홀더 절손 및 용융 RH(-)</t>
  </si>
  <si>
    <t>xx년 RH(범아)</t>
  </si>
  <si>
    <t>RP-0068</t>
  </si>
  <si>
    <t>94TWDH006</t>
  </si>
  <si>
    <t>절연저항 불량(약 5메가옴), 상태점검 차 교환</t>
  </si>
  <si>
    <t>RP-0069</t>
  </si>
  <si>
    <t>296634-16</t>
  </si>
  <si>
    <t>회전자+냉각팬 공회전</t>
  </si>
  <si>
    <t>RP-0070</t>
  </si>
  <si>
    <t>88TWDH125</t>
  </si>
  <si>
    <t>회전자 정류자면 전식(플래시 오버)</t>
  </si>
  <si>
    <t>정류자 손상 사용불가</t>
  </si>
  <si>
    <t>RP-0071</t>
  </si>
  <si>
    <t>1위:xx년 LH 3위:95년</t>
  </si>
  <si>
    <t>RP-0072</t>
  </si>
  <si>
    <t>88091-66</t>
  </si>
  <si>
    <t>RP-0073</t>
  </si>
  <si>
    <t>87TWDH041</t>
  </si>
  <si>
    <t>정류자 절연불량, 전기자 코일단락</t>
  </si>
  <si>
    <t>RP-0074</t>
  </si>
  <si>
    <t>296635-12</t>
  </si>
  <si>
    <t>93TWDH157</t>
  </si>
  <si>
    <t>정류자 F/O, 패임, 홀더양호</t>
  </si>
  <si>
    <t>RP-0075</t>
  </si>
  <si>
    <t>296639-9</t>
  </si>
  <si>
    <t>RP-0076</t>
  </si>
  <si>
    <t>96TWDH240</t>
  </si>
  <si>
    <t>91092-76</t>
  </si>
  <si>
    <t>RP-0077</t>
  </si>
  <si>
    <t>92TWDH071</t>
  </si>
  <si>
    <t>94TWDH244</t>
  </si>
  <si>
    <t>xx년 LH(정체모름)</t>
  </si>
  <si>
    <t>RP-0078</t>
  </si>
  <si>
    <t>RNE1703-001</t>
  </si>
  <si>
    <t>RNE1703-379</t>
  </si>
  <si>
    <t>세이프티 너트 탈락으로 인한 회전자 축 나사산 손상</t>
  </si>
  <si>
    <t>RP-0079</t>
  </si>
  <si>
    <t>95111-89</t>
  </si>
  <si>
    <t>RP-0080</t>
  </si>
  <si>
    <t>88091-78</t>
  </si>
  <si>
    <t>91TWDH161</t>
  </si>
  <si>
    <t>22년 RH</t>
  </si>
  <si>
    <t>RP-0081</t>
  </si>
  <si>
    <t>89TWDH041</t>
  </si>
  <si>
    <t>보극선 코일단락(절연저항 0), 전기자상태양호</t>
  </si>
  <si>
    <t>RP-0082</t>
  </si>
  <si>
    <t>88TWDH114</t>
  </si>
  <si>
    <t>RP-0083</t>
  </si>
  <si>
    <t>92TWDH075</t>
  </si>
  <si>
    <t>3위 홀더측 보극선 절연불량, 임시조치상태</t>
  </si>
  <si>
    <t>RP-0084</t>
  </si>
  <si>
    <t>94TWDH009</t>
  </si>
  <si>
    <t>RP-0085</t>
  </si>
  <si>
    <t>296636-18</t>
  </si>
  <si>
    <t>2위 브러쉬 마모한도 도달, 계자 보극선 손상</t>
  </si>
  <si>
    <t>월상 9/25 시행(브러쉬홀더 교체)</t>
  </si>
  <si>
    <t>RP-0086</t>
  </si>
  <si>
    <t>RP-0087</t>
  </si>
  <si>
    <t>88TWDH085</t>
  </si>
  <si>
    <t>정류자측 축-볼베어링 헐거움 예비품 교체</t>
  </si>
  <si>
    <t>축 수선중</t>
  </si>
  <si>
    <t>RP-0088</t>
  </si>
  <si>
    <t>S07-517</t>
  </si>
  <si>
    <t>로템</t>
  </si>
  <si>
    <t>S07-375</t>
  </si>
  <si>
    <t>볼베어링 손상으로 속도센서 치형원판 흔들림</t>
  </si>
  <si>
    <t>RP-0089</t>
  </si>
  <si>
    <t>92TWDH068</t>
  </si>
  <si>
    <t>주극선 절연불량, 브러쉬홀더 및 전기자 양호</t>
  </si>
  <si>
    <t>RP-0090</t>
  </si>
  <si>
    <t>297309-1</t>
  </si>
  <si>
    <t>2,4위 브러쉬홀더 절손 및 용융 LH(+), 계자 및 전기자 단락</t>
  </si>
  <si>
    <t>RP-0091</t>
  </si>
  <si>
    <t>88TWDH121</t>
  </si>
  <si>
    <t>2위 브러쉬홀더 절손 및 용융 LH(+), 계자 전기자 양호</t>
  </si>
  <si>
    <t>RP-0092</t>
  </si>
  <si>
    <t>88091-68</t>
  </si>
  <si>
    <t>RP-0093</t>
  </si>
  <si>
    <t>96TWDH247</t>
  </si>
  <si>
    <t>RP-0094</t>
  </si>
  <si>
    <t>88091-44</t>
  </si>
  <si>
    <t>경미장애에 따른 예방정비 차원교차</t>
  </si>
  <si>
    <t>RP-0095</t>
  </si>
  <si>
    <t>296638-20</t>
  </si>
  <si>
    <t>RP-0096</t>
  </si>
  <si>
    <t>RP-0097</t>
  </si>
  <si>
    <t>296632-7</t>
  </si>
  <si>
    <t>히타치(신정)</t>
  </si>
  <si>
    <t>수선예비품 순환</t>
  </si>
  <si>
    <t>RP-0098</t>
  </si>
  <si>
    <t>88091-49</t>
  </si>
  <si>
    <t>296631-4</t>
  </si>
  <si>
    <t>RP-0099</t>
  </si>
  <si>
    <t>296635-20</t>
  </si>
  <si>
    <t>RP-0100</t>
  </si>
  <si>
    <t>296632-5</t>
  </si>
  <si>
    <t>RP-0101</t>
  </si>
  <si>
    <t>히타치(명진사)</t>
  </si>
  <si>
    <t>RP-0102</t>
  </si>
  <si>
    <t>88091-76</t>
  </si>
  <si>
    <t>RP-0103</t>
  </si>
  <si>
    <t>296640-10</t>
  </si>
  <si>
    <t>RP-0104</t>
  </si>
  <si>
    <t>296640-7</t>
  </si>
  <si>
    <t>RP-0105</t>
  </si>
  <si>
    <t>88TWDH126</t>
  </si>
  <si>
    <t>296637-1</t>
  </si>
  <si>
    <t>RP-0106</t>
  </si>
  <si>
    <t>297909-3</t>
  </si>
  <si>
    <t>296638-13</t>
  </si>
  <si>
    <t>RP-0107</t>
  </si>
  <si>
    <t>296633-13</t>
  </si>
  <si>
    <t>RP-0108</t>
  </si>
  <si>
    <t>89TWDH061</t>
  </si>
  <si>
    <t>92TMDH075</t>
  </si>
  <si>
    <t>브러쉬홀더 절손</t>
  </si>
  <si>
    <t>RP-0109</t>
  </si>
  <si>
    <t>296635-17</t>
  </si>
  <si>
    <t>296637-4</t>
  </si>
  <si>
    <t>RP-0110</t>
  </si>
  <si>
    <t>94TMDH009</t>
  </si>
  <si>
    <t>RP-0111</t>
  </si>
  <si>
    <t>88091-50</t>
  </si>
  <si>
    <t>296637-12</t>
  </si>
  <si>
    <t>RP-0112</t>
  </si>
  <si>
    <t>88TWDH106</t>
  </si>
  <si>
    <t>RP-0113</t>
  </si>
  <si>
    <t>RP-0114</t>
  </si>
  <si>
    <t>RP-0115</t>
  </si>
  <si>
    <t>RP-0116</t>
  </si>
  <si>
    <t>92TWDH061</t>
  </si>
  <si>
    <t>정류자면 아크발생</t>
  </si>
  <si>
    <t>RP-0117</t>
  </si>
  <si>
    <t>89TWDH070</t>
  </si>
  <si>
    <t>절연 불량</t>
  </si>
  <si>
    <t>RP-0118</t>
  </si>
  <si>
    <t>94TWDH005</t>
  </si>
  <si>
    <t>브러쉬홀더 접지, F/O</t>
  </si>
  <si>
    <t>RP-0119</t>
  </si>
  <si>
    <t>98TWDH391</t>
  </si>
  <si>
    <t>96TWDH006</t>
  </si>
  <si>
    <t>RP-0120</t>
  </si>
  <si>
    <t>RP-0121</t>
  </si>
  <si>
    <t>RP-0122</t>
  </si>
  <si>
    <t>87TWDH300</t>
  </si>
  <si>
    <t>RP-0123</t>
  </si>
  <si>
    <t>RP-0124</t>
  </si>
  <si>
    <t>296640-2</t>
  </si>
  <si>
    <t>GR 및 FAULT 점등</t>
  </si>
  <si>
    <t>RP-0125</t>
  </si>
  <si>
    <t>296641-10</t>
  </si>
  <si>
    <t>RP-0126</t>
  </si>
  <si>
    <t>브러쉬 흠집 발생</t>
  </si>
  <si>
    <t>RP-0127</t>
  </si>
  <si>
    <t>RP-0128</t>
  </si>
  <si>
    <t>88091-84</t>
  </si>
  <si>
    <t>GR 점등 및 절연페인트 박리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</si>
</sst>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1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horizontal="center" vertical="center" wrapText="1"/>
    </xf>
    <xf numFmtId="176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0" fillId="0" borderId="0" xfId="1" applyFont="1" applyAlignment="1">
      <alignment horizontal="left" vertical="center" wrapText="1"/>
    </xf>
    <xf numFmtId="0" fontId="0" fillId="0" borderId="0" xfId="1" applyFont="1" applyAlignment="1">
      <alignment horizontal="left" wrapText="1"/>
    </xf>
    <xf numFmtId="0" fontId="0" fillId="0" borderId="0" xfId="0" applyAlignment="1">
      <alignment horizontal="left"/>
    </xf>
  </cellXfs>
  <cellStyles count="2">
    <cellStyle name="Normal" xfId="1" xr:uid="{00000000-0005-0000-0000-000000000000}"/>
    <cellStyle name="표준" xfId="0" builtinId="0"/>
  </cellStyles>
  <dxfs count="35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</font>
      <fill>
        <patternFill patternType="solid">
          <bgColor rgb="FFFFF2CC"/>
        </patternFill>
      </fill>
    </dxf>
    <dxf>
      <fill>
        <patternFill patternType="solid">
          <bgColor rgb="FFF8CBAD"/>
        </patternFill>
      </fill>
    </dxf>
    <dxf>
      <fill>
        <patternFill patternType="solid">
          <bgColor rgb="FFFFE699"/>
        </patternFill>
      </fill>
    </dxf>
    <dxf>
      <font>
        <b/>
      </font>
      <fill>
        <patternFill patternType="solid">
          <bgColor rgb="FFF4B183"/>
        </patternFill>
      </fill>
    </dxf>
    <dxf>
      <font>
        <b/>
        <color rgb="FFFFFFFF"/>
      </font>
      <fill>
        <patternFill patternType="solid">
          <bgColor rgb="FFF8696B"/>
        </patternFill>
      </fill>
    </dxf>
    <dxf>
      <alignment horizontal="center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placementTable" displayName="ReplacementTable" ref="A1:T129" dataDxfId="20">
  <tableColumns count="20">
    <tableColumn id="1" xr3:uid="{00000000-0010-0000-0100-000001000000}" name="교체ID" dataDxfId="19"/>
    <tableColumn id="3" xr3:uid="{00000000-0010-0000-0100-000003000000}" name="교체일자" dataDxfId="18"/>
    <tableColumn id="4" xr3:uid="{00000000-0010-0000-0100-000004000000}" name="편성" dataDxfId="17"/>
    <tableColumn id="5" xr3:uid="{00000000-0010-0000-0100-000005000000}" name="차호" dataDxfId="16"/>
    <tableColumn id="6" xr3:uid="{00000000-0010-0000-0100-000006000000}" name="위치" dataDxfId="15"/>
    <tableColumn id="7" xr3:uid="{00000000-0010-0000-0100-000007000000}" name="취거TM_시리얼" dataDxfId="14"/>
    <tableColumn id="8" xr3:uid="{00000000-0010-0000-0100-000008000000}" name="취거TM_제작년도" dataDxfId="13"/>
    <tableColumn id="9" xr3:uid="{00000000-0010-0000-0100-000009000000}" name="취거TM_제조사" dataDxfId="12"/>
    <tableColumn id="10" xr3:uid="{00000000-0010-0000-0100-00000A000000}" name="부착TM_시리얼" dataDxfId="11"/>
    <tableColumn id="11" xr3:uid="{00000000-0010-0000-0100-00000B000000}" name="부착TM_제작년도" dataDxfId="10"/>
    <tableColumn id="12" xr3:uid="{00000000-0010-0000-0100-00000C000000}" name="부착TM_제조사" dataDxfId="9"/>
    <tableColumn id="13" xr3:uid="{00000000-0010-0000-0100-00000D000000}" name="고장유형(선택)" dataDxfId="8"/>
    <tableColumn id="14" xr3:uid="{00000000-0010-0000-0100-00000E000000}" name="고장코드(자동)" dataDxfId="7"/>
    <tableColumn id="15" xr3:uid="{00000000-0010-0000-0100-00000F000000}" name="심각도(자동)" dataDxfId="6"/>
    <tableColumn id="16" xr3:uid="{00000000-0010-0000-0100-000010000000}" name="위험점수(자동)" dataDxfId="5"/>
    <tableColumn id="17" xr3:uid="{00000000-0010-0000-0100-000011000000}" name="고장성교체여부(자동)" dataDxfId="4"/>
    <tableColumn id="18" xr3:uid="{00000000-0010-0000-0100-000012000000}" name="세부 고장내용" dataDxfId="3"/>
    <tableColumn id="19" xr3:uid="{00000000-0010-0000-0100-000013000000}" name="취거품 상태(선택)" dataDxfId="2"/>
    <tableColumn id="20" xr3:uid="{00000000-0010-0000-0100-000014000000}" name="취거품 상태/조치비고" dataDxfId="1"/>
    <tableColumn id="21" xr3:uid="{00000000-0010-0000-0100-000015000000}" name="데이터검토(자동)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ilureSeverityTable" displayName="FailureSeverityTable" ref="A1:H8" dataDxfId="34">
  <tableColumns count="8">
    <tableColumn id="1" xr3:uid="{00000000-0010-0000-0000-000001000000}" name="고장코드" dataDxfId="33"/>
    <tableColumn id="2" xr3:uid="{00000000-0010-0000-0000-000002000000}" name="표준고장유형" dataDxfId="32"/>
    <tableColumn id="3" xr3:uid="{00000000-0010-0000-0000-000003000000}" name="심각도" dataDxfId="31"/>
    <tableColumn id="4" xr3:uid="{00000000-0010-0000-0000-000004000000}" name="위험점수" dataDxfId="30"/>
    <tableColumn id="5" xr3:uid="{00000000-0010-0000-0000-000005000000}" name="표시색" dataDxfId="29"/>
    <tableColumn id="6" xr3:uid="{00000000-0010-0000-0000-000006000000}" name="체크박스/선택 기준" dataDxfId="28"/>
    <tableColumn id="7" xr3:uid="{00000000-0010-0000-0000-000007000000}" name="대표 키워드" dataDxfId="27"/>
    <tableColumn id="8" xr3:uid="{00000000-0010-0000-0000-000008000000}" name="비고" dataDxf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9"/>
  <sheetViews>
    <sheetView workbookViewId="0">
      <selection activeCell="H8" sqref="H8"/>
    </sheetView>
  </sheetViews>
  <sheetFormatPr defaultRowHeight="14.25"/>
  <cols>
    <col min="1" max="2" width="12" customWidth="1"/>
    <col min="3" max="5" width="8" customWidth="1"/>
    <col min="6" max="6" width="18" customWidth="1"/>
    <col min="7" max="7" width="12" customWidth="1"/>
    <col min="8" max="8" width="16" customWidth="1"/>
    <col min="9" max="9" width="18" customWidth="1"/>
    <col min="10" max="10" width="12" customWidth="1"/>
    <col min="11" max="11" width="16" customWidth="1"/>
    <col min="12" max="12" width="24" customWidth="1"/>
    <col min="13" max="13" width="13" customWidth="1"/>
    <col min="14" max="14" width="11" customWidth="1"/>
    <col min="15" max="15" width="12" customWidth="1"/>
    <col min="16" max="16" width="16" customWidth="1"/>
    <col min="17" max="17" width="32" customWidth="1"/>
    <col min="18" max="18" width="18" customWidth="1"/>
    <col min="19" max="19" width="32" customWidth="1"/>
    <col min="20" max="20" width="16" customWidth="1"/>
  </cols>
  <sheetData>
    <row r="1" spans="1:20" ht="30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80</v>
      </c>
      <c r="O1" s="2" t="s">
        <v>81</v>
      </c>
      <c r="P1" s="2" t="s">
        <v>82</v>
      </c>
      <c r="Q1" s="2" t="s">
        <v>83</v>
      </c>
      <c r="R1" s="2" t="s">
        <v>84</v>
      </c>
      <c r="S1" s="2" t="s">
        <v>85</v>
      </c>
      <c r="T1" s="2" t="s">
        <v>86</v>
      </c>
    </row>
    <row r="2" spans="1:20" s="6" customFormat="1" ht="25.5" customHeight="1">
      <c r="A2" s="4" t="s">
        <v>87</v>
      </c>
      <c r="B2" s="5">
        <v>44231</v>
      </c>
      <c r="C2" s="4">
        <v>111</v>
      </c>
      <c r="D2" s="4">
        <v>1711</v>
      </c>
      <c r="E2" s="4">
        <v>2</v>
      </c>
      <c r="F2" s="4" t="s">
        <v>88</v>
      </c>
      <c r="G2" s="4">
        <v>1988</v>
      </c>
      <c r="H2" s="4" t="s">
        <v>89</v>
      </c>
      <c r="I2" s="4" t="s">
        <v>90</v>
      </c>
      <c r="J2" s="4">
        <v>1989</v>
      </c>
      <c r="K2" s="4" t="s">
        <v>91</v>
      </c>
      <c r="L2" s="4" t="s">
        <v>51</v>
      </c>
      <c r="M2" s="4" t="str">
        <f>IFERROR(INDEX(고장심각도분류!$A$2:$A$8,MATCH(L2,고장심각도분류!$B$2:$B$8,0)),"")</f>
        <v>FC05</v>
      </c>
      <c r="N2" s="4">
        <f>IFERROR(INDEX(고장심각도분류!$C$2:$C$8,MATCH(L2,고장심각도분류!$B$2:$B$8,0)),"")</f>
        <v>7</v>
      </c>
      <c r="O2" s="4">
        <f>IFERROR(INDEX(고장심각도분류!$D$2:$D$8,MATCH(L2,고장심각도분류!$B$2:$B$8,0)),"")</f>
        <v>100</v>
      </c>
      <c r="P2" s="4" t="str">
        <f t="shared" ref="P2:P33" si="0">IF(O2&gt;0,"Y","N")</f>
        <v>Y</v>
      </c>
      <c r="Q2" s="4" t="s">
        <v>92</v>
      </c>
      <c r="R2" s="4"/>
      <c r="S2" s="4"/>
      <c r="T2" s="4" t="str">
        <f t="shared" ref="T2:T33" si="1">IF(OR(B2="",C2="",E2="",F2="",I2="",L2="",R2=""),"확인필요","OK")</f>
        <v>확인필요</v>
      </c>
    </row>
    <row r="3" spans="1:20" s="6" customFormat="1" ht="25.5" customHeight="1">
      <c r="A3" s="4" t="s">
        <v>93</v>
      </c>
      <c r="B3" s="5">
        <v>44236</v>
      </c>
      <c r="C3" s="4">
        <v>111</v>
      </c>
      <c r="D3" s="4">
        <v>1711</v>
      </c>
      <c r="E3" s="4">
        <v>3</v>
      </c>
      <c r="F3" s="4" t="s">
        <v>94</v>
      </c>
      <c r="G3" s="4">
        <v>1974</v>
      </c>
      <c r="H3" s="4" t="s">
        <v>95</v>
      </c>
      <c r="I3" s="4" t="s">
        <v>96</v>
      </c>
      <c r="J3" s="4">
        <v>1974</v>
      </c>
      <c r="K3" s="4" t="s">
        <v>95</v>
      </c>
      <c r="L3" s="4" t="s">
        <v>51</v>
      </c>
      <c r="M3" s="4" t="str">
        <f>IFERROR(INDEX(고장심각도분류!$A$2:$A$8,MATCH(L3,고장심각도분류!$B$2:$B$8,0)),"")</f>
        <v>FC05</v>
      </c>
      <c r="N3" s="4">
        <f>IFERROR(INDEX(고장심각도분류!$C$2:$C$8,MATCH(L3,고장심각도분류!$B$2:$B$8,0)),"")</f>
        <v>7</v>
      </c>
      <c r="O3" s="4">
        <f>IFERROR(INDEX(고장심각도분류!$D$2:$D$8,MATCH(L3,고장심각도분류!$B$2:$B$8,0)),"")</f>
        <v>100</v>
      </c>
      <c r="P3" s="4" t="str">
        <f t="shared" si="0"/>
        <v>Y</v>
      </c>
      <c r="Q3" s="4" t="s">
        <v>97</v>
      </c>
      <c r="R3" s="4" t="s">
        <v>40</v>
      </c>
      <c r="S3" s="4" t="s">
        <v>98</v>
      </c>
      <c r="T3" s="4" t="str">
        <f t="shared" si="1"/>
        <v>OK</v>
      </c>
    </row>
    <row r="4" spans="1:20" s="6" customFormat="1" ht="25.5" customHeight="1">
      <c r="A4" s="4" t="s">
        <v>99</v>
      </c>
      <c r="B4" s="5">
        <v>44281</v>
      </c>
      <c r="C4" s="4">
        <v>112</v>
      </c>
      <c r="D4" s="4">
        <v>1712</v>
      </c>
      <c r="E4" s="4">
        <v>1</v>
      </c>
      <c r="F4" s="4" t="s">
        <v>100</v>
      </c>
      <c r="G4" s="4">
        <v>1989</v>
      </c>
      <c r="H4" s="4" t="s">
        <v>91</v>
      </c>
      <c r="I4" s="4" t="s">
        <v>101</v>
      </c>
      <c r="J4" s="4">
        <v>1973</v>
      </c>
      <c r="K4" s="4" t="s">
        <v>95</v>
      </c>
      <c r="L4" s="4" t="s">
        <v>51</v>
      </c>
      <c r="M4" s="4" t="str">
        <f>IFERROR(INDEX(고장심각도분류!$A$2:$A$8,MATCH(L4,고장심각도분류!$B$2:$B$8,0)),"")</f>
        <v>FC05</v>
      </c>
      <c r="N4" s="4">
        <f>IFERROR(INDEX(고장심각도분류!$C$2:$C$8,MATCH(L4,고장심각도분류!$B$2:$B$8,0)),"")</f>
        <v>7</v>
      </c>
      <c r="O4" s="4">
        <f>IFERROR(INDEX(고장심각도분류!$D$2:$D$8,MATCH(L4,고장심각도분류!$B$2:$B$8,0)),"")</f>
        <v>100</v>
      </c>
      <c r="P4" s="4" t="str">
        <f t="shared" si="0"/>
        <v>Y</v>
      </c>
      <c r="Q4" s="4" t="s">
        <v>102</v>
      </c>
      <c r="R4" s="4"/>
      <c r="S4" s="7"/>
      <c r="T4" s="4" t="str">
        <f t="shared" si="1"/>
        <v>확인필요</v>
      </c>
    </row>
    <row r="5" spans="1:20" s="6" customFormat="1" ht="25.5" customHeight="1">
      <c r="A5" s="4" t="s">
        <v>103</v>
      </c>
      <c r="B5" s="5">
        <v>44281</v>
      </c>
      <c r="C5" s="4">
        <v>112</v>
      </c>
      <c r="D5" s="4">
        <v>1712</v>
      </c>
      <c r="E5" s="4">
        <v>2</v>
      </c>
      <c r="F5" s="4" t="s">
        <v>104</v>
      </c>
      <c r="G5" s="4">
        <v>1989</v>
      </c>
      <c r="H5" s="4" t="s">
        <v>91</v>
      </c>
      <c r="I5" s="4">
        <v>7733026</v>
      </c>
      <c r="J5" s="4">
        <v>1977</v>
      </c>
      <c r="K5" s="4" t="s">
        <v>105</v>
      </c>
      <c r="L5" s="4" t="s">
        <v>35</v>
      </c>
      <c r="M5" s="4" t="str">
        <f>IFERROR(INDEX(고장심각도분류!$A$2:$A$8,MATCH(L5,고장심각도분류!$B$2:$B$8,0)),"")</f>
        <v>FC03</v>
      </c>
      <c r="N5" s="4">
        <f>IFERROR(INDEX(고장심각도분류!$C$2:$C$8,MATCH(L5,고장심각도분류!$B$2:$B$8,0)),"")</f>
        <v>5</v>
      </c>
      <c r="O5" s="4">
        <f>IFERROR(INDEX(고장심각도분류!$D$2:$D$8,MATCH(L5,고장심각도분류!$B$2:$B$8,0)),"")</f>
        <v>45</v>
      </c>
      <c r="P5" s="4" t="str">
        <f t="shared" si="0"/>
        <v>Y</v>
      </c>
      <c r="Q5" s="4" t="s">
        <v>106</v>
      </c>
      <c r="R5" s="4"/>
      <c r="S5" s="4"/>
      <c r="T5" s="4" t="str">
        <f t="shared" si="1"/>
        <v>확인필요</v>
      </c>
    </row>
    <row r="6" spans="1:20" s="6" customFormat="1" ht="25.5" customHeight="1">
      <c r="A6" s="4" t="s">
        <v>107</v>
      </c>
      <c r="B6" s="5">
        <v>44281</v>
      </c>
      <c r="C6" s="4">
        <v>112</v>
      </c>
      <c r="D6" s="4">
        <v>1712</v>
      </c>
      <c r="E6" s="4">
        <v>3</v>
      </c>
      <c r="F6" s="4" t="s">
        <v>108</v>
      </c>
      <c r="G6" s="4">
        <v>1974</v>
      </c>
      <c r="H6" s="4" t="s">
        <v>95</v>
      </c>
      <c r="I6" s="4" t="s">
        <v>109</v>
      </c>
      <c r="J6" s="4">
        <v>1992</v>
      </c>
      <c r="K6" s="4" t="s">
        <v>89</v>
      </c>
      <c r="L6" s="4" t="s">
        <v>35</v>
      </c>
      <c r="M6" s="4" t="str">
        <f>IFERROR(INDEX(고장심각도분류!$A$2:$A$8,MATCH(L6,고장심각도분류!$B$2:$B$8,0)),"")</f>
        <v>FC03</v>
      </c>
      <c r="N6" s="4">
        <f>IFERROR(INDEX(고장심각도분류!$C$2:$C$8,MATCH(L6,고장심각도분류!$B$2:$B$8,0)),"")</f>
        <v>5</v>
      </c>
      <c r="O6" s="4">
        <f>IFERROR(INDEX(고장심각도분류!$D$2:$D$8,MATCH(L6,고장심각도분류!$B$2:$B$8,0)),"")</f>
        <v>45</v>
      </c>
      <c r="P6" s="4" t="str">
        <f t="shared" si="0"/>
        <v>Y</v>
      </c>
      <c r="Q6" s="4" t="s">
        <v>106</v>
      </c>
      <c r="R6" s="4"/>
      <c r="S6" s="4"/>
      <c r="T6" s="4" t="str">
        <f t="shared" si="1"/>
        <v>확인필요</v>
      </c>
    </row>
    <row r="7" spans="1:20" s="6" customFormat="1" ht="25.5" customHeight="1">
      <c r="A7" s="4" t="s">
        <v>110</v>
      </c>
      <c r="B7" s="5">
        <v>44281</v>
      </c>
      <c r="C7" s="4">
        <v>112</v>
      </c>
      <c r="D7" s="4">
        <v>1712</v>
      </c>
      <c r="E7" s="4">
        <v>4</v>
      </c>
      <c r="F7" s="4" t="s">
        <v>111</v>
      </c>
      <c r="G7" s="4">
        <v>1992</v>
      </c>
      <c r="H7" s="4" t="s">
        <v>89</v>
      </c>
      <c r="I7" s="4" t="s">
        <v>112</v>
      </c>
      <c r="J7" s="4">
        <v>1992</v>
      </c>
      <c r="K7" s="4" t="s">
        <v>89</v>
      </c>
      <c r="L7" s="4" t="s">
        <v>51</v>
      </c>
      <c r="M7" s="4" t="str">
        <f>IFERROR(INDEX(고장심각도분류!$A$2:$A$8,MATCH(L7,고장심각도분류!$B$2:$B$8,0)),"")</f>
        <v>FC05</v>
      </c>
      <c r="N7" s="4">
        <f>IFERROR(INDEX(고장심각도분류!$C$2:$C$8,MATCH(L7,고장심각도분류!$B$2:$B$8,0)),"")</f>
        <v>7</v>
      </c>
      <c r="O7" s="4">
        <f>IFERROR(INDEX(고장심각도분류!$D$2:$D$8,MATCH(L7,고장심각도분류!$B$2:$B$8,0)),"")</f>
        <v>100</v>
      </c>
      <c r="P7" s="4" t="str">
        <f t="shared" si="0"/>
        <v>Y</v>
      </c>
      <c r="Q7" s="4" t="s">
        <v>102</v>
      </c>
      <c r="R7" s="4"/>
      <c r="S7" s="4"/>
      <c r="T7" s="4" t="str">
        <f t="shared" si="1"/>
        <v>확인필요</v>
      </c>
    </row>
    <row r="8" spans="1:20" s="6" customFormat="1" ht="25.5" customHeight="1">
      <c r="A8" s="4" t="s">
        <v>113</v>
      </c>
      <c r="B8" s="5">
        <v>44286</v>
      </c>
      <c r="C8" s="4">
        <v>112</v>
      </c>
      <c r="D8" s="4">
        <v>1712</v>
      </c>
      <c r="E8" s="4">
        <v>1</v>
      </c>
      <c r="F8" s="4" t="s">
        <v>101</v>
      </c>
      <c r="G8" s="4">
        <v>1973</v>
      </c>
      <c r="H8" s="4" t="s">
        <v>95</v>
      </c>
      <c r="I8" s="4" t="s">
        <v>108</v>
      </c>
      <c r="J8" s="4">
        <v>1974</v>
      </c>
      <c r="K8" s="4" t="s">
        <v>95</v>
      </c>
      <c r="L8" s="4" t="s">
        <v>51</v>
      </c>
      <c r="M8" s="4" t="str">
        <f>IFERROR(INDEX(고장심각도분류!$A$2:$A$8,MATCH(L8,고장심각도분류!$B$2:$B$8,0)),"")</f>
        <v>FC05</v>
      </c>
      <c r="N8" s="4">
        <f>IFERROR(INDEX(고장심각도분류!$C$2:$C$8,MATCH(L8,고장심각도분류!$B$2:$B$8,0)),"")</f>
        <v>7</v>
      </c>
      <c r="O8" s="4">
        <f>IFERROR(INDEX(고장심각도분류!$D$2:$D$8,MATCH(L8,고장심각도분류!$B$2:$B$8,0)),"")</f>
        <v>100</v>
      </c>
      <c r="P8" s="4" t="str">
        <f t="shared" si="0"/>
        <v>Y</v>
      </c>
      <c r="Q8" s="4" t="s">
        <v>102</v>
      </c>
      <c r="R8" s="4"/>
      <c r="S8" s="4"/>
      <c r="T8" s="4" t="str">
        <f t="shared" si="1"/>
        <v>확인필요</v>
      </c>
    </row>
    <row r="9" spans="1:20" s="6" customFormat="1" ht="25.5" customHeight="1">
      <c r="A9" s="4" t="s">
        <v>114</v>
      </c>
      <c r="B9" s="5">
        <v>44286</v>
      </c>
      <c r="C9" s="4">
        <v>112</v>
      </c>
      <c r="D9" s="4">
        <v>1712</v>
      </c>
      <c r="E9" s="4">
        <v>2</v>
      </c>
      <c r="F9" s="4">
        <v>7733026</v>
      </c>
      <c r="G9" s="4">
        <v>1977</v>
      </c>
      <c r="H9" s="4" t="s">
        <v>105</v>
      </c>
      <c r="I9" s="4" t="s">
        <v>104</v>
      </c>
      <c r="J9" s="4">
        <v>1989</v>
      </c>
      <c r="K9" s="4" t="s">
        <v>91</v>
      </c>
      <c r="L9" s="4" t="s">
        <v>51</v>
      </c>
      <c r="M9" s="4" t="str">
        <f>IFERROR(INDEX(고장심각도분류!$A$2:$A$8,MATCH(L9,고장심각도분류!$B$2:$B$8,0)),"")</f>
        <v>FC05</v>
      </c>
      <c r="N9" s="4">
        <f>IFERROR(INDEX(고장심각도분류!$C$2:$C$8,MATCH(L9,고장심각도분류!$B$2:$B$8,0)),"")</f>
        <v>7</v>
      </c>
      <c r="O9" s="4">
        <f>IFERROR(INDEX(고장심각도분류!$D$2:$D$8,MATCH(L9,고장심각도분류!$B$2:$B$8,0)),"")</f>
        <v>100</v>
      </c>
      <c r="P9" s="4" t="str">
        <f t="shared" si="0"/>
        <v>Y</v>
      </c>
      <c r="Q9" s="4" t="s">
        <v>102</v>
      </c>
      <c r="R9" s="4"/>
      <c r="S9" s="4"/>
      <c r="T9" s="4" t="str">
        <f t="shared" si="1"/>
        <v>확인필요</v>
      </c>
    </row>
    <row r="10" spans="1:20" s="6" customFormat="1" ht="25.5" customHeight="1">
      <c r="A10" s="4" t="s">
        <v>115</v>
      </c>
      <c r="B10" s="5">
        <v>44286</v>
      </c>
      <c r="C10" s="4">
        <v>112</v>
      </c>
      <c r="D10" s="4">
        <v>1712</v>
      </c>
      <c r="E10" s="4">
        <v>3</v>
      </c>
      <c r="F10" s="4" t="s">
        <v>109</v>
      </c>
      <c r="G10" s="4">
        <v>1992</v>
      </c>
      <c r="H10" s="4" t="s">
        <v>89</v>
      </c>
      <c r="I10" s="4" t="s">
        <v>100</v>
      </c>
      <c r="J10" s="4">
        <v>1989</v>
      </c>
      <c r="K10" s="4" t="s">
        <v>91</v>
      </c>
      <c r="L10" s="4" t="s">
        <v>51</v>
      </c>
      <c r="M10" s="4" t="str">
        <f>IFERROR(INDEX(고장심각도분류!$A$2:$A$8,MATCH(L10,고장심각도분류!$B$2:$B$8,0)),"")</f>
        <v>FC05</v>
      </c>
      <c r="N10" s="4">
        <f>IFERROR(INDEX(고장심각도분류!$C$2:$C$8,MATCH(L10,고장심각도분류!$B$2:$B$8,0)),"")</f>
        <v>7</v>
      </c>
      <c r="O10" s="4">
        <f>IFERROR(INDEX(고장심각도분류!$D$2:$D$8,MATCH(L10,고장심각도분류!$B$2:$B$8,0)),"")</f>
        <v>100</v>
      </c>
      <c r="P10" s="4" t="str">
        <f t="shared" si="0"/>
        <v>Y</v>
      </c>
      <c r="Q10" s="4" t="s">
        <v>116</v>
      </c>
      <c r="R10" s="4" t="s">
        <v>40</v>
      </c>
      <c r="S10" s="4" t="s">
        <v>98</v>
      </c>
      <c r="T10" s="4" t="str">
        <f t="shared" si="1"/>
        <v>OK</v>
      </c>
    </row>
    <row r="11" spans="1:20" s="6" customFormat="1" ht="25.5" customHeight="1">
      <c r="A11" s="4" t="s">
        <v>117</v>
      </c>
      <c r="B11" s="5">
        <v>44351</v>
      </c>
      <c r="C11" s="4">
        <v>116</v>
      </c>
      <c r="D11" s="4">
        <v>1216</v>
      </c>
      <c r="E11" s="4">
        <v>1</v>
      </c>
      <c r="F11" s="4" t="s">
        <v>119</v>
      </c>
      <c r="G11" s="4">
        <v>1988</v>
      </c>
      <c r="H11" s="4" t="s">
        <v>89</v>
      </c>
      <c r="I11" s="4">
        <v>7733026</v>
      </c>
      <c r="J11" s="4">
        <v>1977</v>
      </c>
      <c r="K11" s="4" t="s">
        <v>105</v>
      </c>
      <c r="L11" s="4" t="s">
        <v>11</v>
      </c>
      <c r="M11" s="4" t="str">
        <f>IFERROR(INDEX(고장심각도분류!$A$2:$A$8,MATCH(L11,고장심각도분류!$B$2:$B$8,0)),"")</f>
        <v>FC00</v>
      </c>
      <c r="N11" s="4">
        <f>IFERROR(INDEX(고장심각도분류!$C$2:$C$8,MATCH(L11,고장심각도분류!$B$2:$B$8,0)),"")</f>
        <v>1</v>
      </c>
      <c r="O11" s="4">
        <f>IFERROR(INDEX(고장심각도분류!$D$2:$D$8,MATCH(L11,고장심각도분류!$B$2:$B$8,0)),"")</f>
        <v>0</v>
      </c>
      <c r="P11" s="4" t="str">
        <f t="shared" si="0"/>
        <v>N</v>
      </c>
      <c r="Q11" s="4" t="s">
        <v>118</v>
      </c>
      <c r="R11" s="4"/>
      <c r="S11" s="4"/>
      <c r="T11" s="4" t="str">
        <f t="shared" si="1"/>
        <v>확인필요</v>
      </c>
    </row>
    <row r="12" spans="1:20" s="6" customFormat="1" ht="25.5" customHeight="1">
      <c r="A12" s="4" t="s">
        <v>120</v>
      </c>
      <c r="B12" s="5">
        <v>44351</v>
      </c>
      <c r="C12" s="4">
        <v>116</v>
      </c>
      <c r="D12" s="4">
        <v>1216</v>
      </c>
      <c r="E12" s="4">
        <v>2</v>
      </c>
      <c r="F12" s="4" t="s">
        <v>121</v>
      </c>
      <c r="G12" s="4">
        <v>1974</v>
      </c>
      <c r="H12" s="4" t="s">
        <v>95</v>
      </c>
      <c r="I12" s="4" t="s">
        <v>101</v>
      </c>
      <c r="J12" s="4">
        <v>1973</v>
      </c>
      <c r="K12" s="4" t="s">
        <v>95</v>
      </c>
      <c r="L12" s="4" t="s">
        <v>11</v>
      </c>
      <c r="M12" s="4" t="str">
        <f>IFERROR(INDEX(고장심각도분류!$A$2:$A$8,MATCH(L12,고장심각도분류!$B$2:$B$8,0)),"")</f>
        <v>FC00</v>
      </c>
      <c r="N12" s="4">
        <f>IFERROR(INDEX(고장심각도분류!$C$2:$C$8,MATCH(L12,고장심각도분류!$B$2:$B$8,0)),"")</f>
        <v>1</v>
      </c>
      <c r="O12" s="4">
        <f>IFERROR(INDEX(고장심각도분류!$D$2:$D$8,MATCH(L12,고장심각도분류!$B$2:$B$8,0)),"")</f>
        <v>0</v>
      </c>
      <c r="P12" s="4" t="str">
        <f t="shared" si="0"/>
        <v>N</v>
      </c>
      <c r="Q12" s="4" t="s">
        <v>118</v>
      </c>
      <c r="R12" s="4"/>
      <c r="S12" s="4"/>
      <c r="T12" s="4" t="str">
        <f t="shared" si="1"/>
        <v>확인필요</v>
      </c>
    </row>
    <row r="13" spans="1:20" s="6" customFormat="1" ht="25.5" customHeight="1">
      <c r="A13" s="4" t="s">
        <v>122</v>
      </c>
      <c r="B13" s="5">
        <v>44372</v>
      </c>
      <c r="C13" s="4">
        <v>114</v>
      </c>
      <c r="D13" s="4">
        <v>1114</v>
      </c>
      <c r="E13" s="4">
        <v>1</v>
      </c>
      <c r="F13" s="4" t="s">
        <v>123</v>
      </c>
      <c r="G13" s="4">
        <v>1998</v>
      </c>
      <c r="H13" s="4" t="s">
        <v>89</v>
      </c>
      <c r="I13" s="4" t="s">
        <v>124</v>
      </c>
      <c r="J13" s="4">
        <v>1995</v>
      </c>
      <c r="K13" s="4" t="s">
        <v>89</v>
      </c>
      <c r="L13" s="4" t="s">
        <v>51</v>
      </c>
      <c r="M13" s="4" t="str">
        <f>IFERROR(INDEX(고장심각도분류!$A$2:$A$8,MATCH(L13,고장심각도분류!$B$2:$B$8,0)),"")</f>
        <v>FC05</v>
      </c>
      <c r="N13" s="4">
        <f>IFERROR(INDEX(고장심각도분류!$C$2:$C$8,MATCH(L13,고장심각도분류!$B$2:$B$8,0)),"")</f>
        <v>7</v>
      </c>
      <c r="O13" s="4">
        <f>IFERROR(INDEX(고장심각도분류!$D$2:$D$8,MATCH(L13,고장심각도분류!$B$2:$B$8,0)),"")</f>
        <v>100</v>
      </c>
      <c r="P13" s="4" t="str">
        <f t="shared" si="0"/>
        <v>Y</v>
      </c>
      <c r="Q13" s="4" t="s">
        <v>102</v>
      </c>
      <c r="R13" s="4"/>
      <c r="S13" s="4"/>
      <c r="T13" s="4" t="str">
        <f t="shared" si="1"/>
        <v>확인필요</v>
      </c>
    </row>
    <row r="14" spans="1:20" s="6" customFormat="1" ht="25.5" customHeight="1">
      <c r="A14" s="4" t="s">
        <v>125</v>
      </c>
      <c r="B14" s="5">
        <v>44377</v>
      </c>
      <c r="C14" s="4">
        <v>112</v>
      </c>
      <c r="D14" s="4">
        <v>1712</v>
      </c>
      <c r="E14" s="4">
        <v>1</v>
      </c>
      <c r="F14" s="4" t="s">
        <v>108</v>
      </c>
      <c r="G14" s="4">
        <v>1974</v>
      </c>
      <c r="H14" s="4" t="s">
        <v>95</v>
      </c>
      <c r="I14" s="4" t="s">
        <v>111</v>
      </c>
      <c r="J14" s="4">
        <v>1992</v>
      </c>
      <c r="K14" s="4" t="s">
        <v>89</v>
      </c>
      <c r="L14" s="4" t="s">
        <v>51</v>
      </c>
      <c r="M14" s="4" t="str">
        <f>IFERROR(INDEX(고장심각도분류!$A$2:$A$8,MATCH(L14,고장심각도분류!$B$2:$B$8,0)),"")</f>
        <v>FC05</v>
      </c>
      <c r="N14" s="4">
        <f>IFERROR(INDEX(고장심각도분류!$C$2:$C$8,MATCH(L14,고장심각도분류!$B$2:$B$8,0)),"")</f>
        <v>7</v>
      </c>
      <c r="O14" s="4">
        <f>IFERROR(INDEX(고장심각도분류!$D$2:$D$8,MATCH(L14,고장심각도분류!$B$2:$B$8,0)),"")</f>
        <v>100</v>
      </c>
      <c r="P14" s="4" t="str">
        <f t="shared" si="0"/>
        <v>Y</v>
      </c>
      <c r="Q14" s="4" t="s">
        <v>102</v>
      </c>
      <c r="R14" s="4"/>
      <c r="S14" s="4"/>
      <c r="T14" s="4" t="str">
        <f t="shared" si="1"/>
        <v>확인필요</v>
      </c>
    </row>
    <row r="15" spans="1:20" s="6" customFormat="1" ht="25.5" customHeight="1">
      <c r="A15" s="4" t="s">
        <v>126</v>
      </c>
      <c r="B15" s="5">
        <v>44382</v>
      </c>
      <c r="C15" s="4">
        <v>116</v>
      </c>
      <c r="D15" s="4">
        <v>1716</v>
      </c>
      <c r="E15" s="4">
        <v>1</v>
      </c>
      <c r="F15" s="4" t="s">
        <v>127</v>
      </c>
      <c r="G15" s="4">
        <v>1989</v>
      </c>
      <c r="H15" s="4" t="s">
        <v>89</v>
      </c>
      <c r="I15" s="4" t="s">
        <v>121</v>
      </c>
      <c r="J15" s="4">
        <v>1974</v>
      </c>
      <c r="K15" s="4" t="s">
        <v>95</v>
      </c>
      <c r="L15" s="4" t="s">
        <v>51</v>
      </c>
      <c r="M15" s="4" t="str">
        <f>IFERROR(INDEX(고장심각도분류!$A$2:$A$8,MATCH(L15,고장심각도분류!$B$2:$B$8,0)),"")</f>
        <v>FC05</v>
      </c>
      <c r="N15" s="4">
        <f>IFERROR(INDEX(고장심각도분류!$C$2:$C$8,MATCH(L15,고장심각도분류!$B$2:$B$8,0)),"")</f>
        <v>7</v>
      </c>
      <c r="O15" s="4">
        <f>IFERROR(INDEX(고장심각도분류!$D$2:$D$8,MATCH(L15,고장심각도분류!$B$2:$B$8,0)),"")</f>
        <v>100</v>
      </c>
      <c r="P15" s="4" t="str">
        <f t="shared" si="0"/>
        <v>Y</v>
      </c>
      <c r="Q15" s="4" t="s">
        <v>128</v>
      </c>
      <c r="R15" s="4" t="s">
        <v>40</v>
      </c>
      <c r="S15" s="4" t="s">
        <v>98</v>
      </c>
      <c r="T15" s="4" t="str">
        <f t="shared" si="1"/>
        <v>OK</v>
      </c>
    </row>
    <row r="16" spans="1:20" s="6" customFormat="1" ht="25.5" customHeight="1">
      <c r="A16" s="4" t="s">
        <v>129</v>
      </c>
      <c r="B16" s="5">
        <v>44382</v>
      </c>
      <c r="C16" s="4">
        <v>116</v>
      </c>
      <c r="D16" s="4">
        <v>1716</v>
      </c>
      <c r="E16" s="4">
        <v>2</v>
      </c>
      <c r="F16" s="4">
        <v>7432512</v>
      </c>
      <c r="G16" s="4">
        <v>1974</v>
      </c>
      <c r="H16" s="4" t="s">
        <v>105</v>
      </c>
      <c r="I16" s="4" t="s">
        <v>119</v>
      </c>
      <c r="J16" s="4">
        <v>1988</v>
      </c>
      <c r="K16" s="4" t="s">
        <v>89</v>
      </c>
      <c r="L16" s="4" t="s">
        <v>51</v>
      </c>
      <c r="M16" s="4" t="str">
        <f>IFERROR(INDEX(고장심각도분류!$A$2:$A$8,MATCH(L16,고장심각도분류!$B$2:$B$8,0)),"")</f>
        <v>FC05</v>
      </c>
      <c r="N16" s="4">
        <f>IFERROR(INDEX(고장심각도분류!$C$2:$C$8,MATCH(L16,고장심각도분류!$B$2:$B$8,0)),"")</f>
        <v>7</v>
      </c>
      <c r="O16" s="4">
        <f>IFERROR(INDEX(고장심각도분류!$D$2:$D$8,MATCH(L16,고장심각도분류!$B$2:$B$8,0)),"")</f>
        <v>100</v>
      </c>
      <c r="P16" s="4" t="str">
        <f t="shared" si="0"/>
        <v>Y</v>
      </c>
      <c r="Q16" s="4" t="s">
        <v>102</v>
      </c>
      <c r="R16" s="4"/>
      <c r="S16" s="4"/>
      <c r="T16" s="4" t="str">
        <f t="shared" si="1"/>
        <v>확인필요</v>
      </c>
    </row>
    <row r="17" spans="1:20" s="6" customFormat="1" ht="25.5" customHeight="1">
      <c r="A17" s="4" t="s">
        <v>130</v>
      </c>
      <c r="B17" s="5">
        <v>44382</v>
      </c>
      <c r="C17" s="4">
        <v>116</v>
      </c>
      <c r="D17" s="4">
        <v>1716</v>
      </c>
      <c r="E17" s="4">
        <v>3</v>
      </c>
      <c r="F17" s="4" t="s">
        <v>131</v>
      </c>
      <c r="G17" s="4">
        <v>1989</v>
      </c>
      <c r="H17" s="4" t="s">
        <v>91</v>
      </c>
      <c r="I17" s="4" t="s">
        <v>88</v>
      </c>
      <c r="J17" s="4">
        <v>1988</v>
      </c>
      <c r="K17" s="4" t="s">
        <v>89</v>
      </c>
      <c r="L17" s="4" t="s">
        <v>51</v>
      </c>
      <c r="M17" s="4" t="str">
        <f>IFERROR(INDEX(고장심각도분류!$A$2:$A$8,MATCH(L17,고장심각도분류!$B$2:$B$8,0)),"")</f>
        <v>FC05</v>
      </c>
      <c r="N17" s="4">
        <f>IFERROR(INDEX(고장심각도분류!$C$2:$C$8,MATCH(L17,고장심각도분류!$B$2:$B$8,0)),"")</f>
        <v>7</v>
      </c>
      <c r="O17" s="4">
        <f>IFERROR(INDEX(고장심각도분류!$D$2:$D$8,MATCH(L17,고장심각도분류!$B$2:$B$8,0)),"")</f>
        <v>100</v>
      </c>
      <c r="P17" s="4" t="str">
        <f t="shared" si="0"/>
        <v>Y</v>
      </c>
      <c r="Q17" s="4" t="s">
        <v>102</v>
      </c>
      <c r="R17" s="4"/>
      <c r="S17" s="4"/>
      <c r="T17" s="4" t="str">
        <f t="shared" si="1"/>
        <v>확인필요</v>
      </c>
    </row>
    <row r="18" spans="1:20" s="6" customFormat="1" ht="25.5" customHeight="1">
      <c r="A18" s="4" t="s">
        <v>132</v>
      </c>
      <c r="B18" s="5">
        <v>44382</v>
      </c>
      <c r="C18" s="4">
        <v>116</v>
      </c>
      <c r="D18" s="4">
        <v>1716</v>
      </c>
      <c r="E18" s="4">
        <v>4</v>
      </c>
      <c r="F18" s="4" t="s">
        <v>133</v>
      </c>
      <c r="G18" s="4">
        <v>1988</v>
      </c>
      <c r="H18" s="4" t="s">
        <v>89</v>
      </c>
      <c r="I18" s="4" t="s">
        <v>134</v>
      </c>
      <c r="J18" s="4">
        <v>1998</v>
      </c>
      <c r="K18" s="4" t="s">
        <v>89</v>
      </c>
      <c r="L18" s="4" t="s">
        <v>59</v>
      </c>
      <c r="M18" s="4" t="str">
        <f>IFERROR(INDEX(고장심각도분류!$A$2:$A$8,MATCH(L18,고장심각도분류!$B$2:$B$8,0)),"")</f>
        <v>FC99</v>
      </c>
      <c r="N18" s="4">
        <f>IFERROR(INDEX(고장심각도분류!$C$2:$C$8,MATCH(L18,고장심각도분류!$B$2:$B$8,0)),"")</f>
        <v>2</v>
      </c>
      <c r="O18" s="4">
        <f>IFERROR(INDEX(고장심각도분류!$D$2:$D$8,MATCH(L18,고장심각도분류!$B$2:$B$8,0)),"")</f>
        <v>5</v>
      </c>
      <c r="P18" s="4" t="str">
        <f t="shared" si="0"/>
        <v>Y</v>
      </c>
      <c r="Q18" s="4"/>
      <c r="R18" s="4"/>
      <c r="S18" s="4"/>
      <c r="T18" s="4" t="str">
        <f t="shared" si="1"/>
        <v>확인필요</v>
      </c>
    </row>
    <row r="19" spans="1:20" s="6" customFormat="1" ht="25.5" customHeight="1">
      <c r="A19" s="4" t="s">
        <v>135</v>
      </c>
      <c r="B19" s="5">
        <v>44392</v>
      </c>
      <c r="C19" s="4">
        <v>113</v>
      </c>
      <c r="D19" s="4">
        <v>1813</v>
      </c>
      <c r="E19" s="4">
        <v>3</v>
      </c>
      <c r="F19" s="4" t="s">
        <v>136</v>
      </c>
      <c r="G19" s="4">
        <v>1989</v>
      </c>
      <c r="H19" s="4" t="s">
        <v>91</v>
      </c>
      <c r="I19" s="4" t="s">
        <v>134</v>
      </c>
      <c r="J19" s="4">
        <v>1974</v>
      </c>
      <c r="K19" s="4" t="s">
        <v>95</v>
      </c>
      <c r="L19" s="4" t="s">
        <v>51</v>
      </c>
      <c r="M19" s="4" t="str">
        <f>IFERROR(INDEX(고장심각도분류!$A$2:$A$8,MATCH(L19,고장심각도분류!$B$2:$B$8,0)),"")</f>
        <v>FC05</v>
      </c>
      <c r="N19" s="4">
        <f>IFERROR(INDEX(고장심각도분류!$C$2:$C$8,MATCH(L19,고장심각도분류!$B$2:$B$8,0)),"")</f>
        <v>7</v>
      </c>
      <c r="O19" s="4">
        <f>IFERROR(INDEX(고장심각도분류!$D$2:$D$8,MATCH(L19,고장심각도분류!$B$2:$B$8,0)),"")</f>
        <v>100</v>
      </c>
      <c r="P19" s="4" t="str">
        <f t="shared" si="0"/>
        <v>Y</v>
      </c>
      <c r="Q19" s="4" t="s">
        <v>102</v>
      </c>
      <c r="R19" s="4" t="s">
        <v>62</v>
      </c>
      <c r="S19" s="4" t="s">
        <v>137</v>
      </c>
      <c r="T19" s="4" t="str">
        <f t="shared" si="1"/>
        <v>OK</v>
      </c>
    </row>
    <row r="20" spans="1:20" s="6" customFormat="1" ht="25.5" customHeight="1">
      <c r="A20" s="4" t="s">
        <v>138</v>
      </c>
      <c r="B20" s="5">
        <v>44392</v>
      </c>
      <c r="C20" s="4">
        <v>113</v>
      </c>
      <c r="D20" s="4">
        <v>1813</v>
      </c>
      <c r="E20" s="4">
        <v>4</v>
      </c>
      <c r="F20" s="4" t="s">
        <v>139</v>
      </c>
      <c r="G20" s="4">
        <v>1994</v>
      </c>
      <c r="H20" s="4" t="s">
        <v>91</v>
      </c>
      <c r="I20" s="4" t="s">
        <v>88</v>
      </c>
      <c r="J20" s="4">
        <v>1988</v>
      </c>
      <c r="K20" s="4" t="s">
        <v>89</v>
      </c>
      <c r="L20" s="4" t="s">
        <v>51</v>
      </c>
      <c r="M20" s="4" t="str">
        <f>IFERROR(INDEX(고장심각도분류!$A$2:$A$8,MATCH(L20,고장심각도분류!$B$2:$B$8,0)),"")</f>
        <v>FC05</v>
      </c>
      <c r="N20" s="4">
        <f>IFERROR(INDEX(고장심각도분류!$C$2:$C$8,MATCH(L20,고장심각도분류!$B$2:$B$8,0)),"")</f>
        <v>7</v>
      </c>
      <c r="O20" s="4">
        <f>IFERROR(INDEX(고장심각도분류!$D$2:$D$8,MATCH(L20,고장심각도분류!$B$2:$B$8,0)),"")</f>
        <v>100</v>
      </c>
      <c r="P20" s="4" t="str">
        <f t="shared" si="0"/>
        <v>Y</v>
      </c>
      <c r="Q20" s="4" t="s">
        <v>102</v>
      </c>
      <c r="R20" s="4"/>
      <c r="S20" s="4"/>
      <c r="T20" s="4" t="str">
        <f t="shared" si="1"/>
        <v>확인필요</v>
      </c>
    </row>
    <row r="21" spans="1:20" s="6" customFormat="1" ht="25.5" customHeight="1">
      <c r="A21" s="4" t="s">
        <v>140</v>
      </c>
      <c r="B21" s="5">
        <v>44392</v>
      </c>
      <c r="C21" s="4">
        <v>113</v>
      </c>
      <c r="D21" s="4">
        <v>1713</v>
      </c>
      <c r="E21" s="4">
        <v>3</v>
      </c>
      <c r="F21" s="4">
        <v>64057</v>
      </c>
      <c r="G21" s="4">
        <v>1977</v>
      </c>
      <c r="H21" s="4" t="s">
        <v>141</v>
      </c>
      <c r="I21" s="4" t="s">
        <v>119</v>
      </c>
      <c r="J21" s="4">
        <v>1988</v>
      </c>
      <c r="K21" s="4" t="s">
        <v>89</v>
      </c>
      <c r="L21" s="4" t="s">
        <v>51</v>
      </c>
      <c r="M21" s="4" t="str">
        <f>IFERROR(INDEX(고장심각도분류!$A$2:$A$8,MATCH(L21,고장심각도분류!$B$2:$B$8,0)),"")</f>
        <v>FC05</v>
      </c>
      <c r="N21" s="4">
        <f>IFERROR(INDEX(고장심각도분류!$C$2:$C$8,MATCH(L21,고장심각도분류!$B$2:$B$8,0)),"")</f>
        <v>7</v>
      </c>
      <c r="O21" s="4">
        <f>IFERROR(INDEX(고장심각도분류!$D$2:$D$8,MATCH(L21,고장심각도분류!$B$2:$B$8,0)),"")</f>
        <v>100</v>
      </c>
      <c r="P21" s="4" t="str">
        <f t="shared" si="0"/>
        <v>Y</v>
      </c>
      <c r="Q21" s="4" t="s">
        <v>102</v>
      </c>
      <c r="R21" s="4"/>
      <c r="S21" s="4"/>
      <c r="T21" s="4" t="str">
        <f t="shared" si="1"/>
        <v>확인필요</v>
      </c>
    </row>
    <row r="22" spans="1:20" s="6" customFormat="1" ht="25.5" customHeight="1">
      <c r="A22" s="4" t="s">
        <v>142</v>
      </c>
      <c r="B22" s="5">
        <v>44392</v>
      </c>
      <c r="C22" s="4">
        <v>113</v>
      </c>
      <c r="D22" s="4">
        <v>1713</v>
      </c>
      <c r="E22" s="4">
        <v>4</v>
      </c>
      <c r="F22" s="4" t="s">
        <v>143</v>
      </c>
      <c r="G22" s="4">
        <v>1974</v>
      </c>
      <c r="H22" s="4" t="s">
        <v>95</v>
      </c>
      <c r="I22" s="4" t="s">
        <v>121</v>
      </c>
      <c r="J22" s="4">
        <v>1974</v>
      </c>
      <c r="K22" s="4" t="s">
        <v>95</v>
      </c>
      <c r="L22" s="4" t="s">
        <v>51</v>
      </c>
      <c r="M22" s="4" t="str">
        <f>IFERROR(INDEX(고장심각도분류!$A$2:$A$8,MATCH(L22,고장심각도분류!$B$2:$B$8,0)),"")</f>
        <v>FC05</v>
      </c>
      <c r="N22" s="4">
        <f>IFERROR(INDEX(고장심각도분류!$C$2:$C$8,MATCH(L22,고장심각도분류!$B$2:$B$8,0)),"")</f>
        <v>7</v>
      </c>
      <c r="O22" s="4">
        <f>IFERROR(INDEX(고장심각도분류!$D$2:$D$8,MATCH(L22,고장심각도분류!$B$2:$B$8,0)),"")</f>
        <v>100</v>
      </c>
      <c r="P22" s="4" t="str">
        <f t="shared" si="0"/>
        <v>Y</v>
      </c>
      <c r="Q22" s="4" t="s">
        <v>144</v>
      </c>
      <c r="R22" s="4"/>
      <c r="S22" s="4"/>
      <c r="T22" s="4" t="str">
        <f t="shared" si="1"/>
        <v>확인필요</v>
      </c>
    </row>
    <row r="23" spans="1:20" s="6" customFormat="1" ht="25.5" customHeight="1">
      <c r="A23" s="4" t="s">
        <v>145</v>
      </c>
      <c r="B23" s="5">
        <v>44400</v>
      </c>
      <c r="C23" s="4">
        <v>116</v>
      </c>
      <c r="D23" s="4">
        <v>1716</v>
      </c>
      <c r="E23" s="4">
        <v>1</v>
      </c>
      <c r="F23" s="4" t="s">
        <v>146</v>
      </c>
      <c r="G23" s="4" t="s">
        <v>146</v>
      </c>
      <c r="H23" s="4" t="s">
        <v>146</v>
      </c>
      <c r="I23" s="4">
        <v>7432512</v>
      </c>
      <c r="J23" s="4">
        <v>1974</v>
      </c>
      <c r="K23" s="4" t="s">
        <v>105</v>
      </c>
      <c r="L23" s="4" t="s">
        <v>59</v>
      </c>
      <c r="M23" s="4" t="str">
        <f>IFERROR(INDEX(고장심각도분류!$A$2:$A$8,MATCH(L23,고장심각도분류!$B$2:$B$8,0)),"")</f>
        <v>FC99</v>
      </c>
      <c r="N23" s="4">
        <f>IFERROR(INDEX(고장심각도분류!$C$2:$C$8,MATCH(L23,고장심각도분류!$B$2:$B$8,0)),"")</f>
        <v>2</v>
      </c>
      <c r="O23" s="4">
        <f>IFERROR(INDEX(고장심각도분류!$D$2:$D$8,MATCH(L23,고장심각도분류!$B$2:$B$8,0)),"")</f>
        <v>5</v>
      </c>
      <c r="P23" s="4" t="str">
        <f t="shared" si="0"/>
        <v>Y</v>
      </c>
      <c r="Q23" s="4"/>
      <c r="R23" s="4"/>
      <c r="S23" s="4"/>
      <c r="T23" s="4" t="str">
        <f t="shared" si="1"/>
        <v>확인필요</v>
      </c>
    </row>
    <row r="24" spans="1:20" s="6" customFormat="1" ht="25.5" customHeight="1">
      <c r="A24" s="4" t="s">
        <v>147</v>
      </c>
      <c r="B24" s="5">
        <v>44400</v>
      </c>
      <c r="C24" s="4">
        <v>116</v>
      </c>
      <c r="D24" s="4">
        <v>1716</v>
      </c>
      <c r="E24" s="4">
        <v>2</v>
      </c>
      <c r="F24" s="4" t="s">
        <v>146</v>
      </c>
      <c r="G24" s="4" t="s">
        <v>146</v>
      </c>
      <c r="H24" s="4" t="s">
        <v>146</v>
      </c>
      <c r="I24" s="4" t="s">
        <v>131</v>
      </c>
      <c r="J24" s="4">
        <v>1989</v>
      </c>
      <c r="K24" s="4" t="s">
        <v>91</v>
      </c>
      <c r="L24" s="4" t="s">
        <v>59</v>
      </c>
      <c r="M24" s="4" t="str">
        <f>IFERROR(INDEX(고장심각도분류!$A$2:$A$8,MATCH(L24,고장심각도분류!$B$2:$B$8,0)),"")</f>
        <v>FC99</v>
      </c>
      <c r="N24" s="4">
        <f>IFERROR(INDEX(고장심각도분류!$C$2:$C$8,MATCH(L24,고장심각도분류!$B$2:$B$8,0)),"")</f>
        <v>2</v>
      </c>
      <c r="O24" s="4">
        <f>IFERROR(INDEX(고장심각도분류!$D$2:$D$8,MATCH(L24,고장심각도분류!$B$2:$B$8,0)),"")</f>
        <v>5</v>
      </c>
      <c r="P24" s="4" t="str">
        <f t="shared" si="0"/>
        <v>Y</v>
      </c>
      <c r="Q24" s="4"/>
      <c r="R24" s="4"/>
      <c r="S24" s="4"/>
      <c r="T24" s="4" t="str">
        <f t="shared" si="1"/>
        <v>확인필요</v>
      </c>
    </row>
    <row r="25" spans="1:20" s="6" customFormat="1" ht="25.5" customHeight="1">
      <c r="A25" s="4" t="s">
        <v>148</v>
      </c>
      <c r="B25" s="5">
        <v>44400</v>
      </c>
      <c r="C25" s="4">
        <v>116</v>
      </c>
      <c r="D25" s="4">
        <v>1716</v>
      </c>
      <c r="E25" s="4">
        <v>3</v>
      </c>
      <c r="F25" s="4" t="s">
        <v>146</v>
      </c>
      <c r="G25" s="4" t="s">
        <v>146</v>
      </c>
      <c r="H25" s="4" t="s">
        <v>146</v>
      </c>
      <c r="I25" s="4" t="s">
        <v>133</v>
      </c>
      <c r="J25" s="4">
        <v>1988</v>
      </c>
      <c r="K25" s="4" t="s">
        <v>89</v>
      </c>
      <c r="L25" s="4" t="s">
        <v>59</v>
      </c>
      <c r="M25" s="4" t="str">
        <f>IFERROR(INDEX(고장심각도분류!$A$2:$A$8,MATCH(L25,고장심각도분류!$B$2:$B$8,0)),"")</f>
        <v>FC99</v>
      </c>
      <c r="N25" s="4">
        <f>IFERROR(INDEX(고장심각도분류!$C$2:$C$8,MATCH(L25,고장심각도분류!$B$2:$B$8,0)),"")</f>
        <v>2</v>
      </c>
      <c r="O25" s="4">
        <f>IFERROR(INDEX(고장심각도분류!$D$2:$D$8,MATCH(L25,고장심각도분류!$B$2:$B$8,0)),"")</f>
        <v>5</v>
      </c>
      <c r="P25" s="4" t="str">
        <f t="shared" si="0"/>
        <v>Y</v>
      </c>
      <c r="Q25" s="4"/>
      <c r="R25" s="4"/>
      <c r="S25" s="4"/>
      <c r="T25" s="4" t="str">
        <f t="shared" si="1"/>
        <v>확인필요</v>
      </c>
    </row>
    <row r="26" spans="1:20" s="6" customFormat="1" ht="25.5" customHeight="1">
      <c r="A26" s="4" t="s">
        <v>149</v>
      </c>
      <c r="B26" s="5">
        <v>44400</v>
      </c>
      <c r="C26" s="4">
        <v>116</v>
      </c>
      <c r="D26" s="4">
        <v>1716</v>
      </c>
      <c r="E26" s="4">
        <v>4</v>
      </c>
      <c r="F26" s="4" t="s">
        <v>146</v>
      </c>
      <c r="G26" s="4" t="s">
        <v>146</v>
      </c>
      <c r="H26" s="4" t="s">
        <v>146</v>
      </c>
      <c r="I26" s="4" t="s">
        <v>123</v>
      </c>
      <c r="J26" s="4">
        <v>1998</v>
      </c>
      <c r="K26" s="4" t="s">
        <v>89</v>
      </c>
      <c r="L26" s="4" t="s">
        <v>59</v>
      </c>
      <c r="M26" s="4" t="str">
        <f>IFERROR(INDEX(고장심각도분류!$A$2:$A$8,MATCH(L26,고장심각도분류!$B$2:$B$8,0)),"")</f>
        <v>FC99</v>
      </c>
      <c r="N26" s="4">
        <f>IFERROR(INDEX(고장심각도분류!$C$2:$C$8,MATCH(L26,고장심각도분류!$B$2:$B$8,0)),"")</f>
        <v>2</v>
      </c>
      <c r="O26" s="4">
        <f>IFERROR(INDEX(고장심각도분류!$D$2:$D$8,MATCH(L26,고장심각도분류!$B$2:$B$8,0)),"")</f>
        <v>5</v>
      </c>
      <c r="P26" s="4" t="str">
        <f t="shared" si="0"/>
        <v>Y</v>
      </c>
      <c r="Q26" s="4"/>
      <c r="R26" s="4"/>
      <c r="S26" s="4"/>
      <c r="T26" s="4" t="str">
        <f t="shared" si="1"/>
        <v>확인필요</v>
      </c>
    </row>
    <row r="27" spans="1:20" s="6" customFormat="1" ht="25.5" customHeight="1">
      <c r="A27" s="4" t="s">
        <v>150</v>
      </c>
      <c r="B27" s="5">
        <v>44412</v>
      </c>
      <c r="C27" s="4">
        <v>112</v>
      </c>
      <c r="D27" s="4">
        <v>1712</v>
      </c>
      <c r="E27" s="4">
        <v>1</v>
      </c>
      <c r="F27" s="4" t="s">
        <v>111</v>
      </c>
      <c r="G27" s="4">
        <v>1992</v>
      </c>
      <c r="H27" s="4" t="s">
        <v>89</v>
      </c>
      <c r="I27" s="4" t="s">
        <v>108</v>
      </c>
      <c r="J27" s="4">
        <v>1989</v>
      </c>
      <c r="K27" s="4" t="s">
        <v>91</v>
      </c>
      <c r="L27" s="4" t="s">
        <v>51</v>
      </c>
      <c r="M27" s="4" t="str">
        <f>IFERROR(INDEX(고장심각도분류!$A$2:$A$8,MATCH(L27,고장심각도분류!$B$2:$B$8,0)),"")</f>
        <v>FC05</v>
      </c>
      <c r="N27" s="4">
        <f>IFERROR(INDEX(고장심각도분류!$C$2:$C$8,MATCH(L27,고장심각도분류!$B$2:$B$8,0)),"")</f>
        <v>7</v>
      </c>
      <c r="O27" s="4">
        <f>IFERROR(INDEX(고장심각도분류!$D$2:$D$8,MATCH(L27,고장심각도분류!$B$2:$B$8,0)),"")</f>
        <v>100</v>
      </c>
      <c r="P27" s="4" t="str">
        <f t="shared" si="0"/>
        <v>Y</v>
      </c>
      <c r="Q27" s="4" t="s">
        <v>102</v>
      </c>
      <c r="R27" s="4" t="s">
        <v>62</v>
      </c>
      <c r="S27" s="4" t="s">
        <v>151</v>
      </c>
      <c r="T27" s="4" t="str">
        <f t="shared" si="1"/>
        <v>OK</v>
      </c>
    </row>
    <row r="28" spans="1:20" s="6" customFormat="1" ht="25.5" customHeight="1">
      <c r="A28" s="4" t="s">
        <v>152</v>
      </c>
      <c r="B28" s="5">
        <v>44471</v>
      </c>
      <c r="C28" s="4">
        <v>116</v>
      </c>
      <c r="D28" s="4">
        <v>1716</v>
      </c>
      <c r="E28" s="4">
        <v>4</v>
      </c>
      <c r="F28" s="4" t="s">
        <v>123</v>
      </c>
      <c r="G28" s="4">
        <v>1998</v>
      </c>
      <c r="H28" s="4" t="s">
        <v>89</v>
      </c>
      <c r="I28" s="4">
        <v>64057</v>
      </c>
      <c r="J28" s="4">
        <v>1977</v>
      </c>
      <c r="K28" s="4" t="s">
        <v>141</v>
      </c>
      <c r="L28" s="4" t="s">
        <v>51</v>
      </c>
      <c r="M28" s="4" t="str">
        <f>IFERROR(INDEX(고장심각도분류!$A$2:$A$8,MATCH(L28,고장심각도분류!$B$2:$B$8,0)),"")</f>
        <v>FC05</v>
      </c>
      <c r="N28" s="4">
        <f>IFERROR(INDEX(고장심각도분류!$C$2:$C$8,MATCH(L28,고장심각도분류!$B$2:$B$8,0)),"")</f>
        <v>7</v>
      </c>
      <c r="O28" s="4">
        <f>IFERROR(INDEX(고장심각도분류!$D$2:$D$8,MATCH(L28,고장심각도분류!$B$2:$B$8,0)),"")</f>
        <v>100</v>
      </c>
      <c r="P28" s="4" t="str">
        <f t="shared" si="0"/>
        <v>Y</v>
      </c>
      <c r="Q28" s="4" t="s">
        <v>153</v>
      </c>
      <c r="R28" s="4"/>
      <c r="S28" s="4"/>
      <c r="T28" s="4" t="str">
        <f t="shared" si="1"/>
        <v>확인필요</v>
      </c>
    </row>
    <row r="29" spans="1:20" s="6" customFormat="1" ht="25.5" customHeight="1">
      <c r="A29" s="4" t="s">
        <v>154</v>
      </c>
      <c r="B29" s="5">
        <v>44497</v>
      </c>
      <c r="C29" s="4">
        <v>111</v>
      </c>
      <c r="D29" s="4">
        <v>1811</v>
      </c>
      <c r="E29" s="4">
        <v>1</v>
      </c>
      <c r="F29" s="4" t="s">
        <v>155</v>
      </c>
      <c r="G29" s="4">
        <v>1987</v>
      </c>
      <c r="H29" s="4" t="s">
        <v>89</v>
      </c>
      <c r="I29" s="4" t="s">
        <v>139</v>
      </c>
      <c r="J29" s="4">
        <v>1994</v>
      </c>
      <c r="K29" s="4" t="s">
        <v>91</v>
      </c>
      <c r="L29" s="4" t="s">
        <v>51</v>
      </c>
      <c r="M29" s="4" t="str">
        <f>IFERROR(INDEX(고장심각도분류!$A$2:$A$8,MATCH(L29,고장심각도분류!$B$2:$B$8,0)),"")</f>
        <v>FC05</v>
      </c>
      <c r="N29" s="4">
        <f>IFERROR(INDEX(고장심각도분류!$C$2:$C$8,MATCH(L29,고장심각도분류!$B$2:$B$8,0)),"")</f>
        <v>7</v>
      </c>
      <c r="O29" s="4">
        <f>IFERROR(INDEX(고장심각도분류!$D$2:$D$8,MATCH(L29,고장심각도분류!$B$2:$B$8,0)),"")</f>
        <v>100</v>
      </c>
      <c r="P29" s="4" t="str">
        <f t="shared" si="0"/>
        <v>Y</v>
      </c>
      <c r="Q29" s="4" t="s">
        <v>156</v>
      </c>
      <c r="R29" s="4" t="s">
        <v>40</v>
      </c>
      <c r="S29" s="4" t="s">
        <v>98</v>
      </c>
      <c r="T29" s="4" t="str">
        <f t="shared" si="1"/>
        <v>OK</v>
      </c>
    </row>
    <row r="30" spans="1:20" s="6" customFormat="1" ht="25.5" customHeight="1">
      <c r="A30" s="4" t="s">
        <v>157</v>
      </c>
      <c r="B30" s="5">
        <v>44551</v>
      </c>
      <c r="C30" s="4">
        <v>111</v>
      </c>
      <c r="D30" s="4">
        <v>1711</v>
      </c>
      <c r="E30" s="4">
        <v>3</v>
      </c>
      <c r="F30" s="4" t="s">
        <v>96</v>
      </c>
      <c r="G30" s="4">
        <v>1974</v>
      </c>
      <c r="H30" s="4" t="s">
        <v>95</v>
      </c>
      <c r="I30" s="4" t="s">
        <v>111</v>
      </c>
      <c r="J30" s="4">
        <v>1992</v>
      </c>
      <c r="K30" s="4" t="s">
        <v>89</v>
      </c>
      <c r="L30" s="4" t="s">
        <v>51</v>
      </c>
      <c r="M30" s="4" t="str">
        <f>IFERROR(INDEX(고장심각도분류!$A$2:$A$8,MATCH(L30,고장심각도분류!$B$2:$B$8,0)),"")</f>
        <v>FC05</v>
      </c>
      <c r="N30" s="4">
        <f>IFERROR(INDEX(고장심각도분류!$C$2:$C$8,MATCH(L30,고장심각도분류!$B$2:$B$8,0)),"")</f>
        <v>7</v>
      </c>
      <c r="O30" s="4">
        <f>IFERROR(INDEX(고장심각도분류!$D$2:$D$8,MATCH(L30,고장심각도분류!$B$2:$B$8,0)),"")</f>
        <v>100</v>
      </c>
      <c r="P30" s="4" t="str">
        <f t="shared" si="0"/>
        <v>Y</v>
      </c>
      <c r="Q30" s="4" t="s">
        <v>158</v>
      </c>
      <c r="R30" s="4"/>
      <c r="S30" s="4"/>
      <c r="T30" s="4" t="str">
        <f t="shared" si="1"/>
        <v>확인필요</v>
      </c>
    </row>
    <row r="31" spans="1:20" s="6" customFormat="1" ht="25.5" customHeight="1">
      <c r="A31" s="4" t="s">
        <v>159</v>
      </c>
      <c r="B31" s="5">
        <v>44613</v>
      </c>
      <c r="C31" s="4">
        <v>112</v>
      </c>
      <c r="D31" s="4">
        <v>1512</v>
      </c>
      <c r="E31" s="4">
        <v>2</v>
      </c>
      <c r="F31" s="4">
        <v>8833344</v>
      </c>
      <c r="G31" s="4">
        <v>1988</v>
      </c>
      <c r="H31" s="4" t="s">
        <v>105</v>
      </c>
      <c r="I31" s="4" t="s">
        <v>136</v>
      </c>
      <c r="J31" s="4">
        <v>1989</v>
      </c>
      <c r="K31" s="4" t="s">
        <v>91</v>
      </c>
      <c r="L31" s="4" t="s">
        <v>51</v>
      </c>
      <c r="M31" s="4" t="str">
        <f>IFERROR(INDEX(고장심각도분류!$A$2:$A$8,MATCH(L31,고장심각도분류!$B$2:$B$8,0)),"")</f>
        <v>FC05</v>
      </c>
      <c r="N31" s="4">
        <f>IFERROR(INDEX(고장심각도분류!$C$2:$C$8,MATCH(L31,고장심각도분류!$B$2:$B$8,0)),"")</f>
        <v>7</v>
      </c>
      <c r="O31" s="4">
        <f>IFERROR(INDEX(고장심각도분류!$D$2:$D$8,MATCH(L31,고장심각도분류!$B$2:$B$8,0)),"")</f>
        <v>100</v>
      </c>
      <c r="P31" s="4" t="str">
        <f t="shared" si="0"/>
        <v>Y</v>
      </c>
      <c r="Q31" s="4" t="s">
        <v>160</v>
      </c>
      <c r="R31" s="4" t="s">
        <v>40</v>
      </c>
      <c r="S31" s="4" t="s">
        <v>161</v>
      </c>
      <c r="T31" s="4" t="str">
        <f t="shared" si="1"/>
        <v>OK</v>
      </c>
    </row>
    <row r="32" spans="1:20" s="6" customFormat="1" ht="25.5" customHeight="1">
      <c r="A32" s="4" t="s">
        <v>162</v>
      </c>
      <c r="B32" s="5">
        <v>44615</v>
      </c>
      <c r="C32" s="4">
        <v>111</v>
      </c>
      <c r="D32" s="4">
        <v>1711</v>
      </c>
      <c r="E32" s="4">
        <v>3</v>
      </c>
      <c r="F32" s="4" t="s">
        <v>111</v>
      </c>
      <c r="G32" s="4">
        <v>1992</v>
      </c>
      <c r="H32" s="4" t="s">
        <v>89</v>
      </c>
      <c r="I32" s="4" t="s">
        <v>143</v>
      </c>
      <c r="J32" s="4">
        <v>1974</v>
      </c>
      <c r="K32" s="4" t="s">
        <v>95</v>
      </c>
      <c r="L32" s="4" t="s">
        <v>51</v>
      </c>
      <c r="M32" s="4" t="str">
        <f>IFERROR(INDEX(고장심각도분류!$A$2:$A$8,MATCH(L32,고장심각도분류!$B$2:$B$8,0)),"")</f>
        <v>FC05</v>
      </c>
      <c r="N32" s="4">
        <f>IFERROR(INDEX(고장심각도분류!$C$2:$C$8,MATCH(L32,고장심각도분류!$B$2:$B$8,0)),"")</f>
        <v>7</v>
      </c>
      <c r="O32" s="4">
        <f>IFERROR(INDEX(고장심각도분류!$D$2:$D$8,MATCH(L32,고장심각도분류!$B$2:$B$8,0)),"")</f>
        <v>100</v>
      </c>
      <c r="P32" s="4" t="str">
        <f t="shared" si="0"/>
        <v>Y</v>
      </c>
      <c r="Q32" s="4" t="s">
        <v>116</v>
      </c>
      <c r="R32" s="4" t="s">
        <v>40</v>
      </c>
      <c r="S32" s="4" t="s">
        <v>161</v>
      </c>
      <c r="T32" s="4" t="str">
        <f t="shared" si="1"/>
        <v>OK</v>
      </c>
    </row>
    <row r="33" spans="1:20" s="6" customFormat="1" ht="25.5" customHeight="1">
      <c r="A33" s="4" t="s">
        <v>163</v>
      </c>
      <c r="B33" s="5">
        <v>44615</v>
      </c>
      <c r="C33" s="4">
        <v>111</v>
      </c>
      <c r="D33" s="4">
        <v>1711</v>
      </c>
      <c r="E33" s="4">
        <v>2</v>
      </c>
      <c r="F33" s="4" t="s">
        <v>90</v>
      </c>
      <c r="G33" s="4">
        <v>1989</v>
      </c>
      <c r="H33" s="4" t="s">
        <v>91</v>
      </c>
      <c r="I33" s="4" t="s">
        <v>123</v>
      </c>
      <c r="J33" s="4">
        <v>1998</v>
      </c>
      <c r="K33" s="4" t="s">
        <v>89</v>
      </c>
      <c r="L33" s="4" t="s">
        <v>51</v>
      </c>
      <c r="M33" s="4" t="str">
        <f>IFERROR(INDEX(고장심각도분류!$A$2:$A$8,MATCH(L33,고장심각도분류!$B$2:$B$8,0)),"")</f>
        <v>FC05</v>
      </c>
      <c r="N33" s="4">
        <f>IFERROR(INDEX(고장심각도분류!$C$2:$C$8,MATCH(L33,고장심각도분류!$B$2:$B$8,0)),"")</f>
        <v>7</v>
      </c>
      <c r="O33" s="4">
        <f>IFERROR(INDEX(고장심각도분류!$D$2:$D$8,MATCH(L33,고장심각도분류!$B$2:$B$8,0)),"")</f>
        <v>100</v>
      </c>
      <c r="P33" s="4" t="str">
        <f t="shared" si="0"/>
        <v>Y</v>
      </c>
      <c r="Q33" s="4" t="s">
        <v>164</v>
      </c>
      <c r="R33" s="4"/>
      <c r="S33" s="4"/>
      <c r="T33" s="4" t="str">
        <f t="shared" si="1"/>
        <v>확인필요</v>
      </c>
    </row>
    <row r="34" spans="1:20" s="6" customFormat="1" ht="25.5" customHeight="1">
      <c r="A34" s="4" t="s">
        <v>165</v>
      </c>
      <c r="B34" s="5">
        <v>44630</v>
      </c>
      <c r="C34" s="4">
        <v>116</v>
      </c>
      <c r="D34" s="4">
        <v>1116</v>
      </c>
      <c r="E34" s="4">
        <v>1</v>
      </c>
      <c r="F34" s="4" t="s">
        <v>166</v>
      </c>
      <c r="G34" s="4">
        <v>1989</v>
      </c>
      <c r="H34" s="4" t="s">
        <v>91</v>
      </c>
      <c r="I34" s="4" t="s">
        <v>96</v>
      </c>
      <c r="J34" s="4">
        <v>1974</v>
      </c>
      <c r="K34" s="4" t="s">
        <v>95</v>
      </c>
      <c r="L34" s="4" t="s">
        <v>35</v>
      </c>
      <c r="M34" s="4" t="str">
        <f>IFERROR(INDEX(고장심각도분류!$A$2:$A$8,MATCH(L34,고장심각도분류!$B$2:$B$8,0)),"")</f>
        <v>FC03</v>
      </c>
      <c r="N34" s="4">
        <f>IFERROR(INDEX(고장심각도분류!$C$2:$C$8,MATCH(L34,고장심각도분류!$B$2:$B$8,0)),"")</f>
        <v>5</v>
      </c>
      <c r="O34" s="4">
        <f>IFERROR(INDEX(고장심각도분류!$D$2:$D$8,MATCH(L34,고장심각도분류!$B$2:$B$8,0)),"")</f>
        <v>45</v>
      </c>
      <c r="P34" s="4" t="str">
        <f t="shared" ref="P34:P65" si="2">IF(O34&gt;0,"Y","N")</f>
        <v>Y</v>
      </c>
      <c r="Q34" s="4" t="s">
        <v>167</v>
      </c>
      <c r="R34" s="4"/>
      <c r="S34" s="4"/>
      <c r="T34" s="4" t="str">
        <f t="shared" ref="T34:T65" si="3">IF(OR(B34="",C34="",E34="",F34="",I34="",L34="",R34=""),"확인필요","OK")</f>
        <v>확인필요</v>
      </c>
    </row>
    <row r="35" spans="1:20" s="6" customFormat="1" ht="25.5" customHeight="1">
      <c r="A35" s="4" t="s">
        <v>168</v>
      </c>
      <c r="B35" s="5">
        <v>44630</v>
      </c>
      <c r="C35" s="4">
        <v>116</v>
      </c>
      <c r="D35" s="4">
        <v>1116</v>
      </c>
      <c r="E35" s="4">
        <v>2</v>
      </c>
      <c r="F35" s="4" t="s">
        <v>169</v>
      </c>
      <c r="G35" s="4">
        <v>1974</v>
      </c>
      <c r="H35" s="4" t="s">
        <v>95</v>
      </c>
      <c r="I35" s="4" t="s">
        <v>90</v>
      </c>
      <c r="J35" s="4">
        <v>1989</v>
      </c>
      <c r="K35" s="4" t="s">
        <v>91</v>
      </c>
      <c r="L35" s="4" t="s">
        <v>35</v>
      </c>
      <c r="M35" s="4" t="str">
        <f>IFERROR(INDEX(고장심각도분류!$A$2:$A$8,MATCH(L35,고장심각도분류!$B$2:$B$8,0)),"")</f>
        <v>FC03</v>
      </c>
      <c r="N35" s="4">
        <f>IFERROR(INDEX(고장심각도분류!$C$2:$C$8,MATCH(L35,고장심각도분류!$B$2:$B$8,0)),"")</f>
        <v>5</v>
      </c>
      <c r="O35" s="4">
        <f>IFERROR(INDEX(고장심각도분류!$D$2:$D$8,MATCH(L35,고장심각도분류!$B$2:$B$8,0)),"")</f>
        <v>45</v>
      </c>
      <c r="P35" s="4" t="str">
        <f t="shared" si="2"/>
        <v>Y</v>
      </c>
      <c r="Q35" s="4" t="s">
        <v>167</v>
      </c>
      <c r="R35" s="4"/>
      <c r="S35" s="4"/>
      <c r="T35" s="4" t="str">
        <f t="shared" si="3"/>
        <v>확인필요</v>
      </c>
    </row>
    <row r="36" spans="1:20" s="6" customFormat="1" ht="25.5" customHeight="1">
      <c r="A36" s="4" t="s">
        <v>170</v>
      </c>
      <c r="B36" s="5">
        <v>44631</v>
      </c>
      <c r="C36" s="4">
        <v>116</v>
      </c>
      <c r="D36" s="4">
        <v>1116</v>
      </c>
      <c r="E36" s="4">
        <v>1</v>
      </c>
      <c r="F36" s="4" t="s">
        <v>96</v>
      </c>
      <c r="G36" s="4">
        <v>1974</v>
      </c>
      <c r="H36" s="4" t="s">
        <v>95</v>
      </c>
      <c r="I36" s="4" t="s">
        <v>171</v>
      </c>
      <c r="J36" s="4">
        <v>1988</v>
      </c>
      <c r="K36" s="4" t="s">
        <v>89</v>
      </c>
      <c r="L36" s="4" t="s">
        <v>51</v>
      </c>
      <c r="M36" s="4" t="str">
        <f>IFERROR(INDEX(고장심각도분류!$A$2:$A$8,MATCH(L36,고장심각도분류!$B$2:$B$8,0)),"")</f>
        <v>FC05</v>
      </c>
      <c r="N36" s="4">
        <f>IFERROR(INDEX(고장심각도분류!$C$2:$C$8,MATCH(L36,고장심각도분류!$B$2:$B$8,0)),"")</f>
        <v>7</v>
      </c>
      <c r="O36" s="4">
        <f>IFERROR(INDEX(고장심각도분류!$D$2:$D$8,MATCH(L36,고장심각도분류!$B$2:$B$8,0)),"")</f>
        <v>100</v>
      </c>
      <c r="P36" s="4" t="str">
        <f t="shared" si="2"/>
        <v>Y</v>
      </c>
      <c r="Q36" s="4" t="s">
        <v>172</v>
      </c>
      <c r="R36" s="4" t="s">
        <v>40</v>
      </c>
      <c r="S36" s="4" t="s">
        <v>173</v>
      </c>
      <c r="T36" s="4" t="str">
        <f t="shared" si="3"/>
        <v>OK</v>
      </c>
    </row>
    <row r="37" spans="1:20" s="6" customFormat="1" ht="25.5" customHeight="1">
      <c r="A37" s="4" t="s">
        <v>174</v>
      </c>
      <c r="B37" s="5">
        <v>44631</v>
      </c>
      <c r="C37" s="4">
        <v>116</v>
      </c>
      <c r="D37" s="4">
        <v>1116</v>
      </c>
      <c r="E37" s="4">
        <v>2</v>
      </c>
      <c r="F37" s="4" t="s">
        <v>90</v>
      </c>
      <c r="G37" s="4">
        <v>1989</v>
      </c>
      <c r="H37" s="4" t="s">
        <v>91</v>
      </c>
      <c r="I37" s="4" t="s">
        <v>175</v>
      </c>
      <c r="J37" s="4">
        <v>1996</v>
      </c>
      <c r="K37" s="4" t="s">
        <v>89</v>
      </c>
      <c r="L37" s="4" t="s">
        <v>27</v>
      </c>
      <c r="M37" s="4" t="str">
        <f>IFERROR(INDEX(고장심각도분류!$A$2:$A$8,MATCH(L37,고장심각도분류!$B$2:$B$8,0)),"")</f>
        <v>FC02</v>
      </c>
      <c r="N37" s="4">
        <f>IFERROR(INDEX(고장심각도분류!$C$2:$C$8,MATCH(L37,고장심각도분류!$B$2:$B$8,0)),"")</f>
        <v>4</v>
      </c>
      <c r="O37" s="4">
        <f>IFERROR(INDEX(고장심각도분류!$D$2:$D$8,MATCH(L37,고장심각도분류!$B$2:$B$8,0)),"")</f>
        <v>20</v>
      </c>
      <c r="P37" s="4" t="str">
        <f t="shared" si="2"/>
        <v>Y</v>
      </c>
      <c r="Q37" s="4" t="s">
        <v>176</v>
      </c>
      <c r="R37" s="4" t="s">
        <v>64</v>
      </c>
      <c r="S37" s="4" t="s">
        <v>177</v>
      </c>
      <c r="T37" s="4" t="str">
        <f t="shared" si="3"/>
        <v>OK</v>
      </c>
    </row>
    <row r="38" spans="1:20" s="6" customFormat="1" ht="25.5" customHeight="1">
      <c r="A38" s="4" t="s">
        <v>178</v>
      </c>
      <c r="B38" s="5">
        <v>44636</v>
      </c>
      <c r="C38" s="4">
        <v>111</v>
      </c>
      <c r="D38" s="4">
        <v>1211</v>
      </c>
      <c r="E38" s="4">
        <v>1</v>
      </c>
      <c r="F38" s="4" t="s">
        <v>146</v>
      </c>
      <c r="G38" s="4" t="s">
        <v>146</v>
      </c>
      <c r="H38" s="4" t="s">
        <v>146</v>
      </c>
      <c r="I38" s="4" t="s">
        <v>169</v>
      </c>
      <c r="J38" s="4">
        <v>1974</v>
      </c>
      <c r="K38" s="4" t="s">
        <v>95</v>
      </c>
      <c r="L38" s="4" t="s">
        <v>59</v>
      </c>
      <c r="M38" s="4" t="str">
        <f>IFERROR(INDEX(고장심각도분류!$A$2:$A$8,MATCH(L38,고장심각도분류!$B$2:$B$8,0)),"")</f>
        <v>FC99</v>
      </c>
      <c r="N38" s="4">
        <f>IFERROR(INDEX(고장심각도분류!$C$2:$C$8,MATCH(L38,고장심각도분류!$B$2:$B$8,0)),"")</f>
        <v>2</v>
      </c>
      <c r="O38" s="4">
        <f>IFERROR(INDEX(고장심각도분류!$D$2:$D$8,MATCH(L38,고장심각도분류!$B$2:$B$8,0)),"")</f>
        <v>5</v>
      </c>
      <c r="P38" s="4" t="str">
        <f t="shared" si="2"/>
        <v>Y</v>
      </c>
      <c r="Q38" s="4"/>
      <c r="R38" s="4" t="s">
        <v>56</v>
      </c>
      <c r="S38" s="4" t="s">
        <v>179</v>
      </c>
      <c r="T38" s="4" t="str">
        <f t="shared" si="3"/>
        <v>OK</v>
      </c>
    </row>
    <row r="39" spans="1:20" s="6" customFormat="1" ht="25.5" customHeight="1">
      <c r="A39" s="4" t="s">
        <v>180</v>
      </c>
      <c r="B39" s="5">
        <v>44636</v>
      </c>
      <c r="C39" s="4">
        <v>111</v>
      </c>
      <c r="D39" s="4">
        <v>1211</v>
      </c>
      <c r="E39" s="4">
        <v>2</v>
      </c>
      <c r="F39" s="4" t="s">
        <v>146</v>
      </c>
      <c r="G39" s="4" t="s">
        <v>146</v>
      </c>
      <c r="H39" s="4" t="s">
        <v>146</v>
      </c>
      <c r="I39" s="4" t="s">
        <v>166</v>
      </c>
      <c r="J39" s="4">
        <v>1989</v>
      </c>
      <c r="K39" s="4" t="s">
        <v>91</v>
      </c>
      <c r="L39" s="4" t="s">
        <v>59</v>
      </c>
      <c r="M39" s="4" t="str">
        <f>IFERROR(INDEX(고장심각도분류!$A$2:$A$8,MATCH(L39,고장심각도분류!$B$2:$B$8,0)),"")</f>
        <v>FC99</v>
      </c>
      <c r="N39" s="4">
        <f>IFERROR(INDEX(고장심각도분류!$C$2:$C$8,MATCH(L39,고장심각도분류!$B$2:$B$8,0)),"")</f>
        <v>2</v>
      </c>
      <c r="O39" s="4">
        <f>IFERROR(INDEX(고장심각도분류!$D$2:$D$8,MATCH(L39,고장심각도분류!$B$2:$B$8,0)),"")</f>
        <v>5</v>
      </c>
      <c r="P39" s="4" t="str">
        <f t="shared" si="2"/>
        <v>Y</v>
      </c>
      <c r="Q39" s="4"/>
      <c r="R39" s="4" t="s">
        <v>56</v>
      </c>
      <c r="S39" s="4" t="s">
        <v>179</v>
      </c>
      <c r="T39" s="4" t="str">
        <f t="shared" si="3"/>
        <v>OK</v>
      </c>
    </row>
    <row r="40" spans="1:20" s="6" customFormat="1" ht="25.5" customHeight="1">
      <c r="A40" s="4" t="s">
        <v>181</v>
      </c>
      <c r="B40" s="5">
        <v>44636</v>
      </c>
      <c r="C40" s="4">
        <v>111</v>
      </c>
      <c r="D40" s="4">
        <v>1211</v>
      </c>
      <c r="E40" s="4">
        <v>3</v>
      </c>
      <c r="F40" s="4" t="s">
        <v>146</v>
      </c>
      <c r="G40" s="4" t="s">
        <v>146</v>
      </c>
      <c r="H40" s="4" t="s">
        <v>146</v>
      </c>
      <c r="I40" s="4" t="s">
        <v>182</v>
      </c>
      <c r="J40" s="4">
        <v>1988</v>
      </c>
      <c r="K40" s="4" t="s">
        <v>89</v>
      </c>
      <c r="L40" s="4" t="s">
        <v>59</v>
      </c>
      <c r="M40" s="4" t="str">
        <f>IFERROR(INDEX(고장심각도분류!$A$2:$A$8,MATCH(L40,고장심각도분류!$B$2:$B$8,0)),"")</f>
        <v>FC99</v>
      </c>
      <c r="N40" s="4">
        <f>IFERROR(INDEX(고장심각도분류!$C$2:$C$8,MATCH(L40,고장심각도분류!$B$2:$B$8,0)),"")</f>
        <v>2</v>
      </c>
      <c r="O40" s="4">
        <f>IFERROR(INDEX(고장심각도분류!$D$2:$D$8,MATCH(L40,고장심각도분류!$B$2:$B$8,0)),"")</f>
        <v>5</v>
      </c>
      <c r="P40" s="4" t="str">
        <f t="shared" si="2"/>
        <v>Y</v>
      </c>
      <c r="Q40" s="4"/>
      <c r="R40" s="4" t="s">
        <v>56</v>
      </c>
      <c r="S40" s="4" t="s">
        <v>179</v>
      </c>
      <c r="T40" s="4" t="str">
        <f t="shared" si="3"/>
        <v>OK</v>
      </c>
    </row>
    <row r="41" spans="1:20" s="6" customFormat="1" ht="25.5" customHeight="1">
      <c r="A41" s="4" t="s">
        <v>183</v>
      </c>
      <c r="B41" s="5">
        <v>44636</v>
      </c>
      <c r="C41" s="4">
        <v>111</v>
      </c>
      <c r="D41" s="4">
        <v>1211</v>
      </c>
      <c r="E41" s="4">
        <v>4</v>
      </c>
      <c r="F41" s="4" t="s">
        <v>146</v>
      </c>
      <c r="G41" s="4" t="s">
        <v>146</v>
      </c>
      <c r="H41" s="4" t="s">
        <v>146</v>
      </c>
      <c r="I41" s="4" t="s">
        <v>184</v>
      </c>
      <c r="J41" s="4">
        <v>1987</v>
      </c>
      <c r="K41" s="4" t="s">
        <v>89</v>
      </c>
      <c r="L41" s="4" t="s">
        <v>59</v>
      </c>
      <c r="M41" s="4" t="str">
        <f>IFERROR(INDEX(고장심각도분류!$A$2:$A$8,MATCH(L41,고장심각도분류!$B$2:$B$8,0)),"")</f>
        <v>FC99</v>
      </c>
      <c r="N41" s="4">
        <f>IFERROR(INDEX(고장심각도분류!$C$2:$C$8,MATCH(L41,고장심각도분류!$B$2:$B$8,0)),"")</f>
        <v>2</v>
      </c>
      <c r="O41" s="4">
        <f>IFERROR(INDEX(고장심각도분류!$D$2:$D$8,MATCH(L41,고장심각도분류!$B$2:$B$8,0)),"")</f>
        <v>5</v>
      </c>
      <c r="P41" s="4" t="str">
        <f t="shared" si="2"/>
        <v>Y</v>
      </c>
      <c r="Q41" s="4"/>
      <c r="R41" s="4" t="s">
        <v>56</v>
      </c>
      <c r="S41" s="4" t="s">
        <v>179</v>
      </c>
      <c r="T41" s="4" t="str">
        <f t="shared" si="3"/>
        <v>OK</v>
      </c>
    </row>
    <row r="42" spans="1:20" s="6" customFormat="1" ht="25.5" customHeight="1">
      <c r="A42" s="4" t="s">
        <v>185</v>
      </c>
      <c r="B42" s="5">
        <v>44656</v>
      </c>
      <c r="C42" s="4">
        <v>269</v>
      </c>
      <c r="D42" s="4">
        <v>2869</v>
      </c>
      <c r="E42" s="4">
        <v>2</v>
      </c>
      <c r="F42" s="4" t="s">
        <v>186</v>
      </c>
      <c r="G42" s="4">
        <v>2008</v>
      </c>
      <c r="H42" s="4" t="s">
        <v>187</v>
      </c>
      <c r="I42" s="4" t="s">
        <v>188</v>
      </c>
      <c r="J42" s="4">
        <v>2008</v>
      </c>
      <c r="K42" s="4" t="s">
        <v>187</v>
      </c>
      <c r="L42" s="4" t="s">
        <v>35</v>
      </c>
      <c r="M42" s="4" t="str">
        <f>IFERROR(INDEX(고장심각도분류!$A$2:$A$8,MATCH(L42,고장심각도분류!$B$2:$B$8,0)),"")</f>
        <v>FC03</v>
      </c>
      <c r="N42" s="4">
        <f>IFERROR(INDEX(고장심각도분류!$C$2:$C$8,MATCH(L42,고장심각도분류!$B$2:$B$8,0)),"")</f>
        <v>5</v>
      </c>
      <c r="O42" s="4">
        <f>IFERROR(INDEX(고장심각도분류!$D$2:$D$8,MATCH(L42,고장심각도분류!$B$2:$B$8,0)),"")</f>
        <v>45</v>
      </c>
      <c r="P42" s="4" t="str">
        <f t="shared" si="2"/>
        <v>Y</v>
      </c>
      <c r="Q42" s="4" t="s">
        <v>189</v>
      </c>
      <c r="R42" s="4" t="s">
        <v>64</v>
      </c>
      <c r="S42" s="4" t="s">
        <v>190</v>
      </c>
      <c r="T42" s="4" t="str">
        <f t="shared" si="3"/>
        <v>OK</v>
      </c>
    </row>
    <row r="43" spans="1:20" s="6" customFormat="1" ht="25.5" customHeight="1">
      <c r="A43" s="4" t="s">
        <v>191</v>
      </c>
      <c r="B43" s="5">
        <v>44659</v>
      </c>
      <c r="C43" s="4">
        <v>106</v>
      </c>
      <c r="D43" s="4">
        <v>1106</v>
      </c>
      <c r="E43" s="4">
        <v>3</v>
      </c>
      <c r="F43" s="4" t="s">
        <v>192</v>
      </c>
      <c r="G43" s="4" t="s">
        <v>146</v>
      </c>
      <c r="H43" s="4" t="s">
        <v>146</v>
      </c>
      <c r="I43" s="4" t="s">
        <v>193</v>
      </c>
      <c r="J43" s="4" t="s">
        <v>146</v>
      </c>
      <c r="K43" s="4" t="s">
        <v>146</v>
      </c>
      <c r="L43" s="4" t="s">
        <v>59</v>
      </c>
      <c r="M43" s="4" t="str">
        <f>IFERROR(INDEX(고장심각도분류!$A$2:$A$8,MATCH(L43,고장심각도분류!$B$2:$B$8,0)),"")</f>
        <v>FC99</v>
      </c>
      <c r="N43" s="4">
        <f>IFERROR(INDEX(고장심각도분류!$C$2:$C$8,MATCH(L43,고장심각도분류!$B$2:$B$8,0)),"")</f>
        <v>2</v>
      </c>
      <c r="O43" s="4">
        <f>IFERROR(INDEX(고장심각도분류!$D$2:$D$8,MATCH(L43,고장심각도분류!$B$2:$B$8,0)),"")</f>
        <v>5</v>
      </c>
      <c r="P43" s="4" t="str">
        <f t="shared" si="2"/>
        <v>Y</v>
      </c>
      <c r="Q43" s="4"/>
      <c r="R43" s="4"/>
      <c r="S43" s="4"/>
      <c r="T43" s="4" t="str">
        <f t="shared" si="3"/>
        <v>확인필요</v>
      </c>
    </row>
    <row r="44" spans="1:20" s="6" customFormat="1" ht="25.5" customHeight="1">
      <c r="A44" s="4" t="s">
        <v>194</v>
      </c>
      <c r="B44" s="5">
        <v>44690</v>
      </c>
      <c r="C44" s="4">
        <v>111</v>
      </c>
      <c r="D44" s="4">
        <v>1711</v>
      </c>
      <c r="E44" s="4">
        <v>1</v>
      </c>
      <c r="F44" s="4" t="s">
        <v>195</v>
      </c>
      <c r="G44" s="4">
        <v>1998</v>
      </c>
      <c r="H44" s="4" t="s">
        <v>89</v>
      </c>
      <c r="I44" s="4" t="s">
        <v>143</v>
      </c>
      <c r="J44" s="4">
        <v>1974</v>
      </c>
      <c r="K44" s="4" t="s">
        <v>95</v>
      </c>
      <c r="L44" s="4" t="s">
        <v>51</v>
      </c>
      <c r="M44" s="4" t="str">
        <f>IFERROR(INDEX(고장심각도분류!$A$2:$A$8,MATCH(L44,고장심각도분류!$B$2:$B$8,0)),"")</f>
        <v>FC05</v>
      </c>
      <c r="N44" s="4">
        <f>IFERROR(INDEX(고장심각도분류!$C$2:$C$8,MATCH(L44,고장심각도분류!$B$2:$B$8,0)),"")</f>
        <v>7</v>
      </c>
      <c r="O44" s="4">
        <f>IFERROR(INDEX(고장심각도분류!$D$2:$D$8,MATCH(L44,고장심각도분류!$B$2:$B$8,0)),"")</f>
        <v>100</v>
      </c>
      <c r="P44" s="4" t="str">
        <f t="shared" si="2"/>
        <v>Y</v>
      </c>
      <c r="Q44" s="4" t="s">
        <v>164</v>
      </c>
      <c r="R44" s="4"/>
      <c r="S44" s="4"/>
      <c r="T44" s="4" t="str">
        <f t="shared" si="3"/>
        <v>확인필요</v>
      </c>
    </row>
    <row r="45" spans="1:20" s="6" customFormat="1" ht="25.5" customHeight="1">
      <c r="A45" s="4" t="s">
        <v>196</v>
      </c>
      <c r="B45" s="5">
        <v>44690</v>
      </c>
      <c r="C45" s="4">
        <v>111</v>
      </c>
      <c r="D45" s="4">
        <v>1711</v>
      </c>
      <c r="E45" s="4">
        <v>2</v>
      </c>
      <c r="F45" s="4" t="s">
        <v>123</v>
      </c>
      <c r="G45" s="4">
        <v>1998</v>
      </c>
      <c r="H45" s="4" t="s">
        <v>89</v>
      </c>
      <c r="I45" s="4" t="s">
        <v>197</v>
      </c>
      <c r="J45" s="4">
        <v>1998</v>
      </c>
      <c r="K45" s="4" t="s">
        <v>89</v>
      </c>
      <c r="L45" s="4" t="s">
        <v>51</v>
      </c>
      <c r="M45" s="4" t="str">
        <f>IFERROR(INDEX(고장심각도분류!$A$2:$A$8,MATCH(L45,고장심각도분류!$B$2:$B$8,0)),"")</f>
        <v>FC05</v>
      </c>
      <c r="N45" s="4">
        <f>IFERROR(INDEX(고장심각도분류!$C$2:$C$8,MATCH(L45,고장심각도분류!$B$2:$B$8,0)),"")</f>
        <v>7</v>
      </c>
      <c r="O45" s="4">
        <f>IFERROR(INDEX(고장심각도분류!$D$2:$D$8,MATCH(L45,고장심각도분류!$B$2:$B$8,0)),"")</f>
        <v>100</v>
      </c>
      <c r="P45" s="4" t="str">
        <f t="shared" si="2"/>
        <v>Y</v>
      </c>
      <c r="Q45" s="4" t="s">
        <v>198</v>
      </c>
      <c r="R45" s="4" t="s">
        <v>40</v>
      </c>
      <c r="S45" s="4" t="s">
        <v>199</v>
      </c>
      <c r="T45" s="4" t="str">
        <f t="shared" si="3"/>
        <v>OK</v>
      </c>
    </row>
    <row r="46" spans="1:20" s="6" customFormat="1" ht="25.5" customHeight="1">
      <c r="A46" s="4" t="s">
        <v>200</v>
      </c>
      <c r="B46" s="5">
        <v>44706</v>
      </c>
      <c r="C46" s="4">
        <v>111</v>
      </c>
      <c r="D46" s="4">
        <v>1711</v>
      </c>
      <c r="E46" s="4">
        <v>3</v>
      </c>
      <c r="F46" s="4" t="s">
        <v>143</v>
      </c>
      <c r="G46" s="4">
        <v>1974</v>
      </c>
      <c r="H46" s="4" t="s">
        <v>95</v>
      </c>
      <c r="I46" s="4" t="s">
        <v>201</v>
      </c>
      <c r="J46" s="4">
        <v>1994</v>
      </c>
      <c r="K46" s="4" t="s">
        <v>91</v>
      </c>
      <c r="L46" s="4" t="s">
        <v>59</v>
      </c>
      <c r="M46" s="4" t="str">
        <f>IFERROR(INDEX(고장심각도분류!$A$2:$A$8,MATCH(L46,고장심각도분류!$B$2:$B$8,0)),"")</f>
        <v>FC99</v>
      </c>
      <c r="N46" s="4">
        <f>IFERROR(INDEX(고장심각도분류!$C$2:$C$8,MATCH(L46,고장심각도분류!$B$2:$B$8,0)),"")</f>
        <v>2</v>
      </c>
      <c r="O46" s="4">
        <f>IFERROR(INDEX(고장심각도분류!$D$2:$D$8,MATCH(L46,고장심각도분류!$B$2:$B$8,0)),"")</f>
        <v>5</v>
      </c>
      <c r="P46" s="4" t="str">
        <f t="shared" si="2"/>
        <v>Y</v>
      </c>
      <c r="Q46" s="4"/>
      <c r="R46" s="4" t="s">
        <v>64</v>
      </c>
      <c r="S46" s="4" t="s">
        <v>202</v>
      </c>
      <c r="T46" s="4" t="str">
        <f t="shared" si="3"/>
        <v>OK</v>
      </c>
    </row>
    <row r="47" spans="1:20" s="6" customFormat="1" ht="25.5" customHeight="1">
      <c r="A47" s="4" t="s">
        <v>203</v>
      </c>
      <c r="B47" s="5">
        <v>44706</v>
      </c>
      <c r="C47" s="4">
        <v>111</v>
      </c>
      <c r="D47" s="4">
        <v>1711</v>
      </c>
      <c r="E47" s="4">
        <v>4</v>
      </c>
      <c r="F47" s="4" t="s">
        <v>197</v>
      </c>
      <c r="G47" s="4">
        <v>1998</v>
      </c>
      <c r="H47" s="4" t="s">
        <v>89</v>
      </c>
      <c r="I47" s="4" t="s">
        <v>204</v>
      </c>
      <c r="J47" s="4">
        <v>1995</v>
      </c>
      <c r="K47" s="4" t="s">
        <v>91</v>
      </c>
      <c r="L47" s="4" t="s">
        <v>59</v>
      </c>
      <c r="M47" s="4" t="str">
        <f>IFERROR(INDEX(고장심각도분류!$A$2:$A$8,MATCH(L47,고장심각도분류!$B$2:$B$8,0)),"")</f>
        <v>FC99</v>
      </c>
      <c r="N47" s="4">
        <f>IFERROR(INDEX(고장심각도분류!$C$2:$C$8,MATCH(L47,고장심각도분류!$B$2:$B$8,0)),"")</f>
        <v>2</v>
      </c>
      <c r="O47" s="4">
        <f>IFERROR(INDEX(고장심각도분류!$D$2:$D$8,MATCH(L47,고장심각도분류!$B$2:$B$8,0)),"")</f>
        <v>5</v>
      </c>
      <c r="P47" s="4" t="str">
        <f t="shared" si="2"/>
        <v>Y</v>
      </c>
      <c r="Q47" s="4"/>
      <c r="R47" s="4" t="s">
        <v>62</v>
      </c>
      <c r="S47" s="4" t="s">
        <v>205</v>
      </c>
      <c r="T47" s="4" t="str">
        <f t="shared" si="3"/>
        <v>OK</v>
      </c>
    </row>
    <row r="48" spans="1:20" s="6" customFormat="1" ht="25.5" customHeight="1">
      <c r="A48" s="4" t="s">
        <v>206</v>
      </c>
      <c r="B48" s="5">
        <v>44697</v>
      </c>
      <c r="C48" s="4">
        <v>264</v>
      </c>
      <c r="D48" s="4">
        <v>2764</v>
      </c>
      <c r="E48" s="4">
        <v>2</v>
      </c>
      <c r="F48" s="4" t="s">
        <v>207</v>
      </c>
      <c r="G48" s="4">
        <v>2008</v>
      </c>
      <c r="H48" s="4" t="s">
        <v>187</v>
      </c>
      <c r="I48" s="4" t="s">
        <v>208</v>
      </c>
      <c r="J48" s="4">
        <v>2008</v>
      </c>
      <c r="K48" s="4" t="s">
        <v>187</v>
      </c>
      <c r="L48" s="4" t="s">
        <v>19</v>
      </c>
      <c r="M48" s="4" t="str">
        <f>IFERROR(INDEX(고장심각도분류!$A$2:$A$8,MATCH(L48,고장심각도분류!$B$2:$B$8,0)),"")</f>
        <v>FC01</v>
      </c>
      <c r="N48" s="4">
        <f>IFERROR(INDEX(고장심각도분류!$C$2:$C$8,MATCH(L48,고장심각도분류!$B$2:$B$8,0)),"")</f>
        <v>3</v>
      </c>
      <c r="O48" s="4">
        <f>IFERROR(INDEX(고장심각도분류!$D$2:$D$8,MATCH(L48,고장심각도분류!$B$2:$B$8,0)),"")</f>
        <v>10</v>
      </c>
      <c r="P48" s="4" t="str">
        <f t="shared" si="2"/>
        <v>Y</v>
      </c>
      <c r="Q48" s="4" t="s">
        <v>209</v>
      </c>
      <c r="R48" s="4"/>
      <c r="S48" s="4"/>
      <c r="T48" s="4" t="str">
        <f t="shared" si="3"/>
        <v>확인필요</v>
      </c>
    </row>
    <row r="49" spans="1:20" s="6" customFormat="1" ht="25.5" customHeight="1">
      <c r="A49" s="4" t="s">
        <v>210</v>
      </c>
      <c r="B49" s="5">
        <v>44757</v>
      </c>
      <c r="C49" s="4">
        <v>111</v>
      </c>
      <c r="D49" s="4">
        <v>1811</v>
      </c>
      <c r="E49" s="4">
        <v>1</v>
      </c>
      <c r="F49" s="4" t="s">
        <v>139</v>
      </c>
      <c r="G49" s="4">
        <v>1994</v>
      </c>
      <c r="H49" s="4" t="s">
        <v>91</v>
      </c>
      <c r="I49" s="4" t="s">
        <v>211</v>
      </c>
      <c r="J49" s="4">
        <v>1995</v>
      </c>
      <c r="K49" s="4" t="s">
        <v>91</v>
      </c>
      <c r="L49" s="4" t="s">
        <v>51</v>
      </c>
      <c r="M49" s="4" t="str">
        <f>IFERROR(INDEX(고장심각도분류!$A$2:$A$8,MATCH(L49,고장심각도분류!$B$2:$B$8,0)),"")</f>
        <v>FC05</v>
      </c>
      <c r="N49" s="4">
        <f>IFERROR(INDEX(고장심각도분류!$C$2:$C$8,MATCH(L49,고장심각도분류!$B$2:$B$8,0)),"")</f>
        <v>7</v>
      </c>
      <c r="O49" s="4">
        <f>IFERROR(INDEX(고장심각도분류!$D$2:$D$8,MATCH(L49,고장심각도분류!$B$2:$B$8,0)),"")</f>
        <v>100</v>
      </c>
      <c r="P49" s="4" t="str">
        <f t="shared" si="2"/>
        <v>Y</v>
      </c>
      <c r="Q49" s="4" t="s">
        <v>212</v>
      </c>
      <c r="R49" s="4" t="s">
        <v>40</v>
      </c>
      <c r="S49" s="4" t="s">
        <v>98</v>
      </c>
      <c r="T49" s="4" t="str">
        <f t="shared" si="3"/>
        <v>OK</v>
      </c>
    </row>
    <row r="50" spans="1:20" s="6" customFormat="1" ht="25.5" customHeight="1">
      <c r="A50" s="4" t="s">
        <v>213</v>
      </c>
      <c r="B50" s="5">
        <v>44802</v>
      </c>
      <c r="C50" s="4">
        <v>111</v>
      </c>
      <c r="D50" s="4">
        <v>1711</v>
      </c>
      <c r="E50" s="4">
        <v>1</v>
      </c>
      <c r="F50" s="4" t="s">
        <v>143</v>
      </c>
      <c r="G50" s="4">
        <v>1974</v>
      </c>
      <c r="H50" s="4" t="s">
        <v>95</v>
      </c>
      <c r="I50" s="4" t="s">
        <v>214</v>
      </c>
      <c r="J50" s="4">
        <v>1995</v>
      </c>
      <c r="K50" s="4" t="s">
        <v>91</v>
      </c>
      <c r="L50" s="4" t="s">
        <v>11</v>
      </c>
      <c r="M50" s="4" t="str">
        <f>IFERROR(INDEX(고장심각도분류!$A$2:$A$8,MATCH(L50,고장심각도분류!$B$2:$B$8,0)),"")</f>
        <v>FC00</v>
      </c>
      <c r="N50" s="4">
        <f>IFERROR(INDEX(고장심각도분류!$C$2:$C$8,MATCH(L50,고장심각도분류!$B$2:$B$8,0)),"")</f>
        <v>1</v>
      </c>
      <c r="O50" s="4">
        <f>IFERROR(INDEX(고장심각도분류!$D$2:$D$8,MATCH(L50,고장심각도분류!$B$2:$B$8,0)),"")</f>
        <v>0</v>
      </c>
      <c r="P50" s="4" t="str">
        <f t="shared" si="2"/>
        <v>N</v>
      </c>
      <c r="Q50" s="4" t="s">
        <v>215</v>
      </c>
      <c r="R50" s="4"/>
      <c r="S50" s="4"/>
      <c r="T50" s="4" t="str">
        <f t="shared" si="3"/>
        <v>확인필요</v>
      </c>
    </row>
    <row r="51" spans="1:20" s="6" customFormat="1" ht="25.5" customHeight="1">
      <c r="A51" s="4" t="s">
        <v>216</v>
      </c>
      <c r="B51" s="5">
        <v>44802</v>
      </c>
      <c r="C51" s="4">
        <v>111</v>
      </c>
      <c r="D51" s="4">
        <v>1711</v>
      </c>
      <c r="E51" s="4">
        <v>2</v>
      </c>
      <c r="F51" s="4" t="s">
        <v>197</v>
      </c>
      <c r="G51" s="4">
        <v>1998</v>
      </c>
      <c r="H51" s="4" t="s">
        <v>89</v>
      </c>
      <c r="I51" s="4" t="s">
        <v>217</v>
      </c>
      <c r="J51" s="4">
        <v>1995</v>
      </c>
      <c r="K51" s="4" t="s">
        <v>91</v>
      </c>
      <c r="L51" s="4" t="s">
        <v>11</v>
      </c>
      <c r="M51" s="4" t="str">
        <f>IFERROR(INDEX(고장심각도분류!$A$2:$A$8,MATCH(L51,고장심각도분류!$B$2:$B$8,0)),"")</f>
        <v>FC00</v>
      </c>
      <c r="N51" s="4">
        <f>IFERROR(INDEX(고장심각도분류!$C$2:$C$8,MATCH(L51,고장심각도분류!$B$2:$B$8,0)),"")</f>
        <v>1</v>
      </c>
      <c r="O51" s="4">
        <f>IFERROR(INDEX(고장심각도분류!$D$2:$D$8,MATCH(L51,고장심각도분류!$B$2:$B$8,0)),"")</f>
        <v>0</v>
      </c>
      <c r="P51" s="4" t="str">
        <f t="shared" si="2"/>
        <v>N</v>
      </c>
      <c r="Q51" s="4" t="s">
        <v>215</v>
      </c>
      <c r="R51" s="4"/>
      <c r="S51" s="4"/>
      <c r="T51" s="4" t="str">
        <f t="shared" si="3"/>
        <v>확인필요</v>
      </c>
    </row>
    <row r="52" spans="1:20" s="6" customFormat="1" ht="25.5" customHeight="1">
      <c r="A52" s="4" t="s">
        <v>218</v>
      </c>
      <c r="B52" s="5">
        <v>44802</v>
      </c>
      <c r="C52" s="4">
        <v>111</v>
      </c>
      <c r="D52" s="4">
        <v>1811</v>
      </c>
      <c r="E52" s="4">
        <v>2</v>
      </c>
      <c r="F52" s="4" t="s">
        <v>219</v>
      </c>
      <c r="G52" s="4">
        <v>1992</v>
      </c>
      <c r="H52" s="4" t="s">
        <v>89</v>
      </c>
      <c r="I52" s="4" t="s">
        <v>197</v>
      </c>
      <c r="J52" s="4">
        <v>1998</v>
      </c>
      <c r="K52" s="4" t="s">
        <v>89</v>
      </c>
      <c r="L52" s="4" t="s">
        <v>11</v>
      </c>
      <c r="M52" s="4" t="str">
        <f>IFERROR(INDEX(고장심각도분류!$A$2:$A$8,MATCH(L52,고장심각도분류!$B$2:$B$8,0)),"")</f>
        <v>FC00</v>
      </c>
      <c r="N52" s="4">
        <f>IFERROR(INDEX(고장심각도분류!$C$2:$C$8,MATCH(L52,고장심각도분류!$B$2:$B$8,0)),"")</f>
        <v>1</v>
      </c>
      <c r="O52" s="4">
        <f>IFERROR(INDEX(고장심각도분류!$D$2:$D$8,MATCH(L52,고장심각도분류!$B$2:$B$8,0)),"")</f>
        <v>0</v>
      </c>
      <c r="P52" s="4" t="str">
        <f t="shared" si="2"/>
        <v>N</v>
      </c>
      <c r="Q52" s="4" t="s">
        <v>215</v>
      </c>
      <c r="R52" s="4"/>
      <c r="S52" s="4"/>
      <c r="T52" s="4" t="str">
        <f t="shared" si="3"/>
        <v>확인필요</v>
      </c>
    </row>
    <row r="53" spans="1:20" s="6" customFormat="1" ht="25.5" customHeight="1">
      <c r="A53" s="4" t="s">
        <v>220</v>
      </c>
      <c r="B53" s="5">
        <v>44814</v>
      </c>
      <c r="C53" s="4">
        <v>116</v>
      </c>
      <c r="D53" s="4">
        <v>1816</v>
      </c>
      <c r="E53" s="4">
        <v>4</v>
      </c>
      <c r="F53" s="4">
        <v>59812</v>
      </c>
      <c r="G53" s="4">
        <v>1974</v>
      </c>
      <c r="H53" s="4" t="s">
        <v>141</v>
      </c>
      <c r="I53" s="4" t="s">
        <v>221</v>
      </c>
      <c r="J53" s="4">
        <v>1991</v>
      </c>
      <c r="K53" s="4" t="s">
        <v>91</v>
      </c>
      <c r="L53" s="4" t="s">
        <v>51</v>
      </c>
      <c r="M53" s="4" t="str">
        <f>IFERROR(INDEX(고장심각도분류!$A$2:$A$8,MATCH(L53,고장심각도분류!$B$2:$B$8,0)),"")</f>
        <v>FC05</v>
      </c>
      <c r="N53" s="4">
        <f>IFERROR(INDEX(고장심각도분류!$C$2:$C$8,MATCH(L53,고장심각도분류!$B$2:$B$8,0)),"")</f>
        <v>7</v>
      </c>
      <c r="O53" s="4">
        <f>IFERROR(INDEX(고장심각도분류!$D$2:$D$8,MATCH(L53,고장심각도분류!$B$2:$B$8,0)),"")</f>
        <v>100</v>
      </c>
      <c r="P53" s="4" t="str">
        <f t="shared" si="2"/>
        <v>Y</v>
      </c>
      <c r="Q53" s="4" t="s">
        <v>222</v>
      </c>
      <c r="R53" s="4" t="s">
        <v>64</v>
      </c>
      <c r="S53" s="4" t="s">
        <v>223</v>
      </c>
      <c r="T53" s="4" t="str">
        <f t="shared" si="3"/>
        <v>OK</v>
      </c>
    </row>
    <row r="54" spans="1:20" s="6" customFormat="1" ht="25.5" customHeight="1">
      <c r="A54" s="4" t="s">
        <v>224</v>
      </c>
      <c r="B54" s="5">
        <v>44883</v>
      </c>
      <c r="C54" s="4">
        <v>113</v>
      </c>
      <c r="D54" s="4">
        <v>1213</v>
      </c>
      <c r="E54" s="4">
        <v>2</v>
      </c>
      <c r="F54" s="4" t="s">
        <v>225</v>
      </c>
      <c r="G54" s="4">
        <v>1973</v>
      </c>
      <c r="H54" s="4" t="s">
        <v>95</v>
      </c>
      <c r="I54" s="4" t="s">
        <v>226</v>
      </c>
      <c r="J54" s="4">
        <v>1994</v>
      </c>
      <c r="K54" s="4" t="s">
        <v>91</v>
      </c>
      <c r="L54" s="4" t="s">
        <v>59</v>
      </c>
      <c r="M54" s="4" t="str">
        <f>IFERROR(INDEX(고장심각도분류!$A$2:$A$8,MATCH(L54,고장심각도분류!$B$2:$B$8,0)),"")</f>
        <v>FC99</v>
      </c>
      <c r="N54" s="4">
        <f>IFERROR(INDEX(고장심각도분류!$C$2:$C$8,MATCH(L54,고장심각도분류!$B$2:$B$8,0)),"")</f>
        <v>2</v>
      </c>
      <c r="O54" s="4">
        <f>IFERROR(INDEX(고장심각도분류!$D$2:$D$8,MATCH(L54,고장심각도분류!$B$2:$B$8,0)),"")</f>
        <v>5</v>
      </c>
      <c r="P54" s="4" t="str">
        <f t="shared" si="2"/>
        <v>Y</v>
      </c>
      <c r="Q54" s="4" t="s">
        <v>227</v>
      </c>
      <c r="R54" s="4" t="s">
        <v>64</v>
      </c>
      <c r="S54" s="4" t="s">
        <v>223</v>
      </c>
      <c r="T54" s="4" t="str">
        <f t="shared" si="3"/>
        <v>OK</v>
      </c>
    </row>
    <row r="55" spans="1:20" s="6" customFormat="1" ht="25.5" customHeight="1">
      <c r="A55" s="4" t="s">
        <v>228</v>
      </c>
      <c r="B55" s="5">
        <v>44886</v>
      </c>
      <c r="C55" s="4">
        <v>114</v>
      </c>
      <c r="D55" s="4">
        <v>1114</v>
      </c>
      <c r="E55" s="4">
        <v>1</v>
      </c>
      <c r="F55" s="4" t="s">
        <v>124</v>
      </c>
      <c r="G55" s="4">
        <v>1995</v>
      </c>
      <c r="H55" s="4" t="s">
        <v>89</v>
      </c>
      <c r="I55" s="4" t="s">
        <v>229</v>
      </c>
      <c r="J55" s="4">
        <v>1993</v>
      </c>
      <c r="K55" s="4" t="s">
        <v>95</v>
      </c>
      <c r="L55" s="4" t="s">
        <v>35</v>
      </c>
      <c r="M55" s="4" t="str">
        <f>IFERROR(INDEX(고장심각도분류!$A$2:$A$8,MATCH(L55,고장심각도분류!$B$2:$B$8,0)),"")</f>
        <v>FC03</v>
      </c>
      <c r="N55" s="4">
        <f>IFERROR(INDEX(고장심각도분류!$C$2:$C$8,MATCH(L55,고장심각도분류!$B$2:$B$8,0)),"")</f>
        <v>5</v>
      </c>
      <c r="O55" s="4">
        <f>IFERROR(INDEX(고장심각도분류!$D$2:$D$8,MATCH(L55,고장심각도분류!$B$2:$B$8,0)),"")</f>
        <v>45</v>
      </c>
      <c r="P55" s="4" t="str">
        <f t="shared" si="2"/>
        <v>Y</v>
      </c>
      <c r="Q55" s="4" t="s">
        <v>230</v>
      </c>
      <c r="R55" s="4" t="s">
        <v>64</v>
      </c>
      <c r="S55" s="4" t="s">
        <v>231</v>
      </c>
      <c r="T55" s="4" t="str">
        <f t="shared" si="3"/>
        <v>OK</v>
      </c>
    </row>
    <row r="56" spans="1:20" s="6" customFormat="1" ht="25.5" customHeight="1">
      <c r="A56" s="4" t="s">
        <v>232</v>
      </c>
      <c r="B56" s="5">
        <v>44886</v>
      </c>
      <c r="C56" s="4">
        <v>114</v>
      </c>
      <c r="D56" s="4">
        <v>1114</v>
      </c>
      <c r="E56" s="4">
        <v>2</v>
      </c>
      <c r="F56" s="4" t="s">
        <v>233</v>
      </c>
      <c r="G56" s="4">
        <v>1996</v>
      </c>
      <c r="H56" s="4" t="s">
        <v>89</v>
      </c>
      <c r="I56" s="4" t="s">
        <v>234</v>
      </c>
      <c r="J56" s="4">
        <v>1993</v>
      </c>
      <c r="K56" s="4" t="s">
        <v>89</v>
      </c>
      <c r="L56" s="4" t="s">
        <v>59</v>
      </c>
      <c r="M56" s="4" t="str">
        <f>IFERROR(INDEX(고장심각도분류!$A$2:$A$8,MATCH(L56,고장심각도분류!$B$2:$B$8,0)),"")</f>
        <v>FC99</v>
      </c>
      <c r="N56" s="4">
        <f>IFERROR(INDEX(고장심각도분류!$C$2:$C$8,MATCH(L56,고장심각도분류!$B$2:$B$8,0)),"")</f>
        <v>2</v>
      </c>
      <c r="O56" s="4">
        <f>IFERROR(INDEX(고장심각도분류!$D$2:$D$8,MATCH(L56,고장심각도분류!$B$2:$B$8,0)),"")</f>
        <v>5</v>
      </c>
      <c r="P56" s="4" t="str">
        <f t="shared" si="2"/>
        <v>Y</v>
      </c>
      <c r="Q56" s="4" t="s">
        <v>235</v>
      </c>
      <c r="R56" s="4" t="s">
        <v>64</v>
      </c>
      <c r="S56" s="4" t="s">
        <v>231</v>
      </c>
      <c r="T56" s="4" t="str">
        <f t="shared" si="3"/>
        <v>OK</v>
      </c>
    </row>
    <row r="57" spans="1:20" s="6" customFormat="1" ht="25.5" customHeight="1">
      <c r="A57" s="4" t="s">
        <v>236</v>
      </c>
      <c r="B57" s="5">
        <v>44894</v>
      </c>
      <c r="C57" s="4">
        <v>112</v>
      </c>
      <c r="D57" s="4">
        <v>1812</v>
      </c>
      <c r="E57" s="4">
        <v>2</v>
      </c>
      <c r="F57" s="4" t="s">
        <v>237</v>
      </c>
      <c r="G57" s="4">
        <v>1998</v>
      </c>
      <c r="H57" s="4" t="s">
        <v>89</v>
      </c>
      <c r="I57" s="4">
        <v>59812</v>
      </c>
      <c r="J57" s="4">
        <v>1974</v>
      </c>
      <c r="K57" s="4" t="s">
        <v>141</v>
      </c>
      <c r="L57" s="4" t="s">
        <v>11</v>
      </c>
      <c r="M57" s="4" t="str">
        <f>IFERROR(INDEX(고장심각도분류!$A$2:$A$8,MATCH(L57,고장심각도분류!$B$2:$B$8,0)),"")</f>
        <v>FC00</v>
      </c>
      <c r="N57" s="4">
        <f>IFERROR(INDEX(고장심각도분류!$C$2:$C$8,MATCH(L57,고장심각도분류!$B$2:$B$8,0)),"")</f>
        <v>1</v>
      </c>
      <c r="O57" s="4">
        <f>IFERROR(INDEX(고장심각도분류!$D$2:$D$8,MATCH(L57,고장심각도분류!$B$2:$B$8,0)),"")</f>
        <v>0</v>
      </c>
      <c r="P57" s="4" t="str">
        <f t="shared" si="2"/>
        <v>N</v>
      </c>
      <c r="Q57" s="4" t="s">
        <v>215</v>
      </c>
      <c r="R57" s="4" t="s">
        <v>40</v>
      </c>
      <c r="S57" s="4" t="s">
        <v>238</v>
      </c>
      <c r="T57" s="4" t="str">
        <f t="shared" si="3"/>
        <v>OK</v>
      </c>
    </row>
    <row r="58" spans="1:20" s="6" customFormat="1" ht="25.5" customHeight="1">
      <c r="A58" s="4" t="s">
        <v>239</v>
      </c>
      <c r="B58" s="5">
        <v>44902</v>
      </c>
      <c r="C58" s="4">
        <v>115</v>
      </c>
      <c r="D58" s="4">
        <v>1515</v>
      </c>
      <c r="E58" s="4">
        <v>2</v>
      </c>
      <c r="F58" s="4" t="s">
        <v>240</v>
      </c>
      <c r="G58" s="4">
        <v>1973</v>
      </c>
      <c r="H58" s="4" t="s">
        <v>95</v>
      </c>
      <c r="I58" s="4" t="s">
        <v>241</v>
      </c>
      <c r="J58" s="4">
        <v>1995</v>
      </c>
      <c r="K58" s="4" t="s">
        <v>91</v>
      </c>
      <c r="L58" s="4" t="s">
        <v>59</v>
      </c>
      <c r="M58" s="4" t="str">
        <f>IFERROR(INDEX(고장심각도분류!$A$2:$A$8,MATCH(L58,고장심각도분류!$B$2:$B$8,0)),"")</f>
        <v>FC99</v>
      </c>
      <c r="N58" s="4">
        <f>IFERROR(INDEX(고장심각도분류!$C$2:$C$8,MATCH(L58,고장심각도분류!$B$2:$B$8,0)),"")</f>
        <v>2</v>
      </c>
      <c r="O58" s="4">
        <f>IFERROR(INDEX(고장심각도분류!$D$2:$D$8,MATCH(L58,고장심각도분류!$B$2:$B$8,0)),"")</f>
        <v>5</v>
      </c>
      <c r="P58" s="4" t="str">
        <f t="shared" si="2"/>
        <v>Y</v>
      </c>
      <c r="Q58" s="4" t="s">
        <v>242</v>
      </c>
      <c r="R58" s="4"/>
      <c r="S58" s="4"/>
      <c r="T58" s="4" t="str">
        <f t="shared" si="3"/>
        <v>확인필요</v>
      </c>
    </row>
    <row r="59" spans="1:20" s="6" customFormat="1" ht="25.5" customHeight="1">
      <c r="A59" s="4" t="s">
        <v>243</v>
      </c>
      <c r="B59" s="5">
        <v>44910</v>
      </c>
      <c r="C59" s="4">
        <v>114</v>
      </c>
      <c r="D59" s="4">
        <v>1114</v>
      </c>
      <c r="E59" s="4">
        <v>1</v>
      </c>
      <c r="F59" s="4" t="s">
        <v>229</v>
      </c>
      <c r="G59" s="4">
        <v>1993</v>
      </c>
      <c r="H59" s="4" t="s">
        <v>95</v>
      </c>
      <c r="I59" s="4" t="s">
        <v>90</v>
      </c>
      <c r="J59" s="4">
        <v>1989</v>
      </c>
      <c r="K59" s="4" t="s">
        <v>91</v>
      </c>
      <c r="L59" s="4" t="s">
        <v>59</v>
      </c>
      <c r="M59" s="4" t="str">
        <f>IFERROR(INDEX(고장심각도분류!$A$2:$A$8,MATCH(L59,고장심각도분류!$B$2:$B$8,0)),"")</f>
        <v>FC99</v>
      </c>
      <c r="N59" s="4">
        <f>IFERROR(INDEX(고장심각도분류!$C$2:$C$8,MATCH(L59,고장심각도분류!$B$2:$B$8,0)),"")</f>
        <v>2</v>
      </c>
      <c r="O59" s="4">
        <f>IFERROR(INDEX(고장심각도분류!$D$2:$D$8,MATCH(L59,고장심각도분류!$B$2:$B$8,0)),"")</f>
        <v>5</v>
      </c>
      <c r="P59" s="4" t="str">
        <f t="shared" si="2"/>
        <v>Y</v>
      </c>
      <c r="Q59" s="4" t="s">
        <v>244</v>
      </c>
      <c r="R59" s="4"/>
      <c r="S59" s="4"/>
      <c r="T59" s="4" t="str">
        <f t="shared" si="3"/>
        <v>확인필요</v>
      </c>
    </row>
    <row r="60" spans="1:20" s="6" customFormat="1" ht="25.5" customHeight="1">
      <c r="A60" s="4" t="s">
        <v>245</v>
      </c>
      <c r="B60" s="5">
        <v>44910</v>
      </c>
      <c r="C60" s="4">
        <v>114</v>
      </c>
      <c r="D60" s="4">
        <v>1114</v>
      </c>
      <c r="E60" s="4">
        <v>2</v>
      </c>
      <c r="F60" s="4" t="s">
        <v>234</v>
      </c>
      <c r="G60" s="4">
        <v>1993</v>
      </c>
      <c r="H60" s="4" t="s">
        <v>89</v>
      </c>
      <c r="I60" s="4" t="s">
        <v>195</v>
      </c>
      <c r="J60" s="4">
        <v>1998</v>
      </c>
      <c r="K60" s="4" t="s">
        <v>89</v>
      </c>
      <c r="L60" s="4" t="s">
        <v>59</v>
      </c>
      <c r="M60" s="4" t="str">
        <f>IFERROR(INDEX(고장심각도분류!$A$2:$A$8,MATCH(L60,고장심각도분류!$B$2:$B$8,0)),"")</f>
        <v>FC99</v>
      </c>
      <c r="N60" s="4">
        <f>IFERROR(INDEX(고장심각도분류!$C$2:$C$8,MATCH(L60,고장심각도분류!$B$2:$B$8,0)),"")</f>
        <v>2</v>
      </c>
      <c r="O60" s="4">
        <f>IFERROR(INDEX(고장심각도분류!$D$2:$D$8,MATCH(L60,고장심각도분류!$B$2:$B$8,0)),"")</f>
        <v>5</v>
      </c>
      <c r="P60" s="4" t="str">
        <f t="shared" si="2"/>
        <v>Y</v>
      </c>
      <c r="Q60" s="4" t="s">
        <v>244</v>
      </c>
      <c r="R60" s="4"/>
      <c r="S60" s="4"/>
      <c r="T60" s="4" t="str">
        <f t="shared" si="3"/>
        <v>확인필요</v>
      </c>
    </row>
    <row r="61" spans="1:20" s="6" customFormat="1" ht="25.5" customHeight="1">
      <c r="A61" s="4" t="s">
        <v>246</v>
      </c>
      <c r="B61" s="5">
        <v>44910</v>
      </c>
      <c r="C61" s="4">
        <v>114</v>
      </c>
      <c r="D61" s="4">
        <v>1114</v>
      </c>
      <c r="E61" s="4">
        <v>3</v>
      </c>
      <c r="F61" s="4" t="s">
        <v>247</v>
      </c>
      <c r="G61" s="4">
        <v>1974</v>
      </c>
      <c r="H61" s="4" t="s">
        <v>95</v>
      </c>
      <c r="I61" s="4" t="s">
        <v>124</v>
      </c>
      <c r="J61" s="4">
        <v>1995</v>
      </c>
      <c r="K61" s="4" t="s">
        <v>89</v>
      </c>
      <c r="L61" s="4" t="s">
        <v>59</v>
      </c>
      <c r="M61" s="4" t="str">
        <f>IFERROR(INDEX(고장심각도분류!$A$2:$A$8,MATCH(L61,고장심각도분류!$B$2:$B$8,0)),"")</f>
        <v>FC99</v>
      </c>
      <c r="N61" s="4">
        <f>IFERROR(INDEX(고장심각도분류!$C$2:$C$8,MATCH(L61,고장심각도분류!$B$2:$B$8,0)),"")</f>
        <v>2</v>
      </c>
      <c r="O61" s="4">
        <f>IFERROR(INDEX(고장심각도분류!$D$2:$D$8,MATCH(L61,고장심각도분류!$B$2:$B$8,0)),"")</f>
        <v>5</v>
      </c>
      <c r="P61" s="4" t="str">
        <f t="shared" si="2"/>
        <v>Y</v>
      </c>
      <c r="Q61" s="4" t="s">
        <v>244</v>
      </c>
      <c r="R61" s="4"/>
      <c r="S61" s="4"/>
      <c r="T61" s="4" t="str">
        <f t="shared" si="3"/>
        <v>확인필요</v>
      </c>
    </row>
    <row r="62" spans="1:20" s="6" customFormat="1" ht="25.5" customHeight="1">
      <c r="A62" s="4" t="s">
        <v>248</v>
      </c>
      <c r="B62" s="5">
        <v>44910</v>
      </c>
      <c r="C62" s="4">
        <v>114</v>
      </c>
      <c r="D62" s="4">
        <v>1114</v>
      </c>
      <c r="E62" s="4">
        <v>4</v>
      </c>
      <c r="F62" s="4" t="s">
        <v>249</v>
      </c>
      <c r="G62" s="4">
        <v>1988</v>
      </c>
      <c r="H62" s="4" t="s">
        <v>91</v>
      </c>
      <c r="I62" s="4" t="s">
        <v>233</v>
      </c>
      <c r="J62" s="4">
        <v>1996</v>
      </c>
      <c r="K62" s="4" t="s">
        <v>89</v>
      </c>
      <c r="L62" s="4" t="s">
        <v>35</v>
      </c>
      <c r="M62" s="4" t="str">
        <f>IFERROR(INDEX(고장심각도분류!$A$2:$A$8,MATCH(L62,고장심각도분류!$B$2:$B$8,0)),"")</f>
        <v>FC03</v>
      </c>
      <c r="N62" s="4">
        <f>IFERROR(INDEX(고장심각도분류!$C$2:$C$8,MATCH(L62,고장심각도분류!$B$2:$B$8,0)),"")</f>
        <v>5</v>
      </c>
      <c r="O62" s="4">
        <f>IFERROR(INDEX(고장심각도분류!$D$2:$D$8,MATCH(L62,고장심각도분류!$B$2:$B$8,0)),"")</f>
        <v>45</v>
      </c>
      <c r="P62" s="4" t="str">
        <f t="shared" si="2"/>
        <v>Y</v>
      </c>
      <c r="Q62" s="4" t="s">
        <v>244</v>
      </c>
      <c r="R62" s="4" t="s">
        <v>40</v>
      </c>
      <c r="S62" s="4" t="s">
        <v>250</v>
      </c>
      <c r="T62" s="4" t="str">
        <f t="shared" si="3"/>
        <v>OK</v>
      </c>
    </row>
    <row r="63" spans="1:20" s="6" customFormat="1" ht="25.5" customHeight="1">
      <c r="A63" s="4" t="s">
        <v>251</v>
      </c>
      <c r="B63" s="5">
        <v>44926</v>
      </c>
      <c r="C63" s="4">
        <v>116</v>
      </c>
      <c r="D63" s="4">
        <v>1416</v>
      </c>
      <c r="E63" s="4">
        <v>2</v>
      </c>
      <c r="F63" s="4" t="s">
        <v>252</v>
      </c>
      <c r="G63" s="4">
        <v>1977</v>
      </c>
      <c r="H63" s="4" t="s">
        <v>95</v>
      </c>
      <c r="I63" s="4" t="s">
        <v>219</v>
      </c>
      <c r="J63" s="4">
        <v>1992</v>
      </c>
      <c r="K63" s="4" t="s">
        <v>89</v>
      </c>
      <c r="L63" s="4" t="s">
        <v>59</v>
      </c>
      <c r="M63" s="4" t="str">
        <f>IFERROR(INDEX(고장심각도분류!$A$2:$A$8,MATCH(L63,고장심각도분류!$B$2:$B$8,0)),"")</f>
        <v>FC99</v>
      </c>
      <c r="N63" s="4">
        <f>IFERROR(INDEX(고장심각도분류!$C$2:$C$8,MATCH(L63,고장심각도분류!$B$2:$B$8,0)),"")</f>
        <v>2</v>
      </c>
      <c r="O63" s="4">
        <f>IFERROR(INDEX(고장심각도분류!$D$2:$D$8,MATCH(L63,고장심각도분류!$B$2:$B$8,0)),"")</f>
        <v>5</v>
      </c>
      <c r="P63" s="4" t="str">
        <f t="shared" si="2"/>
        <v>Y</v>
      </c>
      <c r="Q63" s="4" t="s">
        <v>253</v>
      </c>
      <c r="R63" s="4"/>
      <c r="S63" s="4"/>
      <c r="T63" s="4" t="str">
        <f t="shared" si="3"/>
        <v>확인필요</v>
      </c>
    </row>
    <row r="64" spans="1:20" s="6" customFormat="1" ht="25.5" customHeight="1">
      <c r="A64" s="4" t="s">
        <v>254</v>
      </c>
      <c r="B64" s="5">
        <v>44937</v>
      </c>
      <c r="C64" s="4">
        <v>111</v>
      </c>
      <c r="D64" s="4">
        <v>1811</v>
      </c>
      <c r="E64" s="4">
        <v>1</v>
      </c>
      <c r="F64" s="4" t="s">
        <v>211</v>
      </c>
      <c r="G64" s="4">
        <v>1995</v>
      </c>
      <c r="H64" s="4" t="s">
        <v>91</v>
      </c>
      <c r="I64" s="4" t="s">
        <v>143</v>
      </c>
      <c r="J64" s="4">
        <v>1974</v>
      </c>
      <c r="K64" s="4" t="s">
        <v>95</v>
      </c>
      <c r="L64" s="4" t="s">
        <v>59</v>
      </c>
      <c r="M64" s="4" t="str">
        <f>IFERROR(INDEX(고장심각도분류!$A$2:$A$8,MATCH(L64,고장심각도분류!$B$2:$B$8,0)),"")</f>
        <v>FC99</v>
      </c>
      <c r="N64" s="4">
        <f>IFERROR(INDEX(고장심각도분류!$C$2:$C$8,MATCH(L64,고장심각도분류!$B$2:$B$8,0)),"")</f>
        <v>2</v>
      </c>
      <c r="O64" s="4">
        <f>IFERROR(INDEX(고장심각도분류!$D$2:$D$8,MATCH(L64,고장심각도분류!$B$2:$B$8,0)),"")</f>
        <v>5</v>
      </c>
      <c r="P64" s="4" t="str">
        <f t="shared" si="2"/>
        <v>Y</v>
      </c>
      <c r="Q64" s="4" t="s">
        <v>255</v>
      </c>
      <c r="R64" s="4" t="s">
        <v>64</v>
      </c>
      <c r="S64" s="4" t="s">
        <v>256</v>
      </c>
      <c r="T64" s="4" t="str">
        <f t="shared" si="3"/>
        <v>OK</v>
      </c>
    </row>
    <row r="65" spans="1:20" s="6" customFormat="1" ht="25.5" customHeight="1">
      <c r="A65" s="4" t="s">
        <v>257</v>
      </c>
      <c r="B65" s="5">
        <v>44940</v>
      </c>
      <c r="C65" s="4">
        <v>114</v>
      </c>
      <c r="D65" s="4">
        <v>1114</v>
      </c>
      <c r="E65" s="4">
        <v>1</v>
      </c>
      <c r="F65" s="4" t="s">
        <v>90</v>
      </c>
      <c r="G65" s="4">
        <v>1989</v>
      </c>
      <c r="H65" s="4" t="s">
        <v>91</v>
      </c>
      <c r="I65" s="4" t="s">
        <v>234</v>
      </c>
      <c r="J65" s="4">
        <v>1993</v>
      </c>
      <c r="K65" s="4" t="s">
        <v>89</v>
      </c>
      <c r="L65" s="4" t="s">
        <v>59</v>
      </c>
      <c r="M65" s="4" t="str">
        <f>IFERROR(INDEX(고장심각도분류!$A$2:$A$8,MATCH(L65,고장심각도분류!$B$2:$B$8,0)),"")</f>
        <v>FC99</v>
      </c>
      <c r="N65" s="4">
        <f>IFERROR(INDEX(고장심각도분류!$C$2:$C$8,MATCH(L65,고장심각도분류!$B$2:$B$8,0)),"")</f>
        <v>2</v>
      </c>
      <c r="O65" s="4">
        <f>IFERROR(INDEX(고장심각도분류!$D$2:$D$8,MATCH(L65,고장심각도분류!$B$2:$B$8,0)),"")</f>
        <v>5</v>
      </c>
      <c r="P65" s="4" t="str">
        <f t="shared" si="2"/>
        <v>Y</v>
      </c>
      <c r="Q65" s="4" t="s">
        <v>258</v>
      </c>
      <c r="R65" s="4"/>
      <c r="S65" s="4"/>
      <c r="T65" s="4" t="str">
        <f t="shared" si="3"/>
        <v>확인필요</v>
      </c>
    </row>
    <row r="66" spans="1:20" s="6" customFormat="1" ht="25.5" customHeight="1">
      <c r="A66" s="4" t="s">
        <v>259</v>
      </c>
      <c r="B66" s="5">
        <v>44940</v>
      </c>
      <c r="C66" s="4">
        <v>114</v>
      </c>
      <c r="D66" s="4">
        <v>1114</v>
      </c>
      <c r="E66" s="4">
        <v>2</v>
      </c>
      <c r="F66" s="4" t="s">
        <v>195</v>
      </c>
      <c r="G66" s="4">
        <v>1998</v>
      </c>
      <c r="H66" s="4" t="s">
        <v>89</v>
      </c>
      <c r="I66" s="4" t="s">
        <v>229</v>
      </c>
      <c r="J66" s="4">
        <v>1993</v>
      </c>
      <c r="K66" s="4" t="s">
        <v>95</v>
      </c>
      <c r="L66" s="4" t="s">
        <v>59</v>
      </c>
      <c r="M66" s="4" t="str">
        <f>IFERROR(INDEX(고장심각도분류!$A$2:$A$8,MATCH(L66,고장심각도분류!$B$2:$B$8,0)),"")</f>
        <v>FC99</v>
      </c>
      <c r="N66" s="4">
        <f>IFERROR(INDEX(고장심각도분류!$C$2:$C$8,MATCH(L66,고장심각도분류!$B$2:$B$8,0)),"")</f>
        <v>2</v>
      </c>
      <c r="O66" s="4">
        <f>IFERROR(INDEX(고장심각도분류!$D$2:$D$8,MATCH(L66,고장심각도분류!$B$2:$B$8,0)),"")</f>
        <v>5</v>
      </c>
      <c r="P66" s="4" t="str">
        <f t="shared" ref="P66:P97" si="4">IF(O66&gt;0,"Y","N")</f>
        <v>Y</v>
      </c>
      <c r="Q66" s="4" t="s">
        <v>260</v>
      </c>
      <c r="R66" s="4" t="s">
        <v>64</v>
      </c>
      <c r="S66" s="4" t="s">
        <v>261</v>
      </c>
      <c r="T66" s="4" t="str">
        <f t="shared" ref="T66:T97" si="5">IF(OR(B66="",C66="",E66="",F66="",I66="",L66="",R66=""),"확인필요","OK")</f>
        <v>OK</v>
      </c>
    </row>
    <row r="67" spans="1:20" s="6" customFormat="1" ht="25.5" customHeight="1">
      <c r="A67" s="4" t="s">
        <v>262</v>
      </c>
      <c r="B67" s="5">
        <v>44961</v>
      </c>
      <c r="C67" s="4">
        <v>111</v>
      </c>
      <c r="D67" s="4">
        <v>1511</v>
      </c>
      <c r="E67" s="4">
        <v>3</v>
      </c>
      <c r="F67" s="4" t="s">
        <v>263</v>
      </c>
      <c r="G67" s="4">
        <v>1996</v>
      </c>
      <c r="H67" s="4" t="s">
        <v>89</v>
      </c>
      <c r="I67" s="4" t="s">
        <v>90</v>
      </c>
      <c r="J67" s="4">
        <v>1989</v>
      </c>
      <c r="K67" s="4" t="s">
        <v>91</v>
      </c>
      <c r="L67" s="4" t="s">
        <v>59</v>
      </c>
      <c r="M67" s="4" t="str">
        <f>IFERROR(INDEX(고장심각도분류!$A$2:$A$8,MATCH(L67,고장심각도분류!$B$2:$B$8,0)),"")</f>
        <v>FC99</v>
      </c>
      <c r="N67" s="4">
        <f>IFERROR(INDEX(고장심각도분류!$C$2:$C$8,MATCH(L67,고장심각도분류!$B$2:$B$8,0)),"")</f>
        <v>2</v>
      </c>
      <c r="O67" s="4">
        <f>IFERROR(INDEX(고장심각도분류!$D$2:$D$8,MATCH(L67,고장심각도분류!$B$2:$B$8,0)),"")</f>
        <v>5</v>
      </c>
      <c r="P67" s="4" t="str">
        <f t="shared" si="4"/>
        <v>Y</v>
      </c>
      <c r="Q67" s="4" t="s">
        <v>260</v>
      </c>
      <c r="R67" s="4" t="s">
        <v>64</v>
      </c>
      <c r="S67" s="4" t="s">
        <v>264</v>
      </c>
      <c r="T67" s="4" t="str">
        <f t="shared" si="5"/>
        <v>OK</v>
      </c>
    </row>
    <row r="68" spans="1:20" s="6" customFormat="1" ht="25.5" customHeight="1">
      <c r="A68" s="4" t="s">
        <v>265</v>
      </c>
      <c r="B68" s="5">
        <v>44978</v>
      </c>
      <c r="C68" s="4">
        <v>116</v>
      </c>
      <c r="D68" s="4">
        <v>1116</v>
      </c>
      <c r="E68" s="4">
        <v>3</v>
      </c>
      <c r="F68" s="4" t="s">
        <v>266</v>
      </c>
      <c r="G68" s="4">
        <v>1989</v>
      </c>
      <c r="H68" s="4" t="s">
        <v>91</v>
      </c>
      <c r="I68" s="4" t="s">
        <v>225</v>
      </c>
      <c r="J68" s="4">
        <v>1973</v>
      </c>
      <c r="K68" s="4" t="s">
        <v>95</v>
      </c>
      <c r="L68" s="4" t="s">
        <v>59</v>
      </c>
      <c r="M68" s="4" t="str">
        <f>IFERROR(INDEX(고장심각도분류!$A$2:$A$8,MATCH(L68,고장심각도분류!$B$2:$B$8,0)),"")</f>
        <v>FC99</v>
      </c>
      <c r="N68" s="4">
        <f>IFERROR(INDEX(고장심각도분류!$C$2:$C$8,MATCH(L68,고장심각도분류!$B$2:$B$8,0)),"")</f>
        <v>2</v>
      </c>
      <c r="O68" s="4">
        <f>IFERROR(INDEX(고장심각도분류!$D$2:$D$8,MATCH(L68,고장심각도분류!$B$2:$B$8,0)),"")</f>
        <v>5</v>
      </c>
      <c r="P68" s="4" t="str">
        <f t="shared" si="4"/>
        <v>Y</v>
      </c>
      <c r="Q68" s="4" t="s">
        <v>267</v>
      </c>
      <c r="R68" s="4" t="s">
        <v>64</v>
      </c>
      <c r="S68" s="4" t="s">
        <v>268</v>
      </c>
      <c r="T68" s="4" t="str">
        <f t="shared" si="5"/>
        <v>OK</v>
      </c>
    </row>
    <row r="69" spans="1:20" s="6" customFormat="1" ht="25.5" customHeight="1">
      <c r="A69" s="4" t="s">
        <v>269</v>
      </c>
      <c r="B69" s="5">
        <v>44987</v>
      </c>
      <c r="C69" s="4">
        <v>114</v>
      </c>
      <c r="D69" s="4">
        <v>1514</v>
      </c>
      <c r="E69" s="4">
        <v>2</v>
      </c>
      <c r="F69" s="4" t="s">
        <v>270</v>
      </c>
      <c r="G69" s="4">
        <v>1994</v>
      </c>
      <c r="H69" s="4" t="s">
        <v>89</v>
      </c>
      <c r="I69" s="4" t="s">
        <v>252</v>
      </c>
      <c r="J69" s="4">
        <v>1977</v>
      </c>
      <c r="K69" s="4" t="s">
        <v>95</v>
      </c>
      <c r="L69" s="4" t="s">
        <v>27</v>
      </c>
      <c r="M69" s="4" t="str">
        <f>IFERROR(INDEX(고장심각도분류!$A$2:$A$8,MATCH(L69,고장심각도분류!$B$2:$B$8,0)),"")</f>
        <v>FC02</v>
      </c>
      <c r="N69" s="4">
        <f>IFERROR(INDEX(고장심각도분류!$C$2:$C$8,MATCH(L69,고장심각도분류!$B$2:$B$8,0)),"")</f>
        <v>4</v>
      </c>
      <c r="O69" s="4">
        <f>IFERROR(INDEX(고장심각도분류!$D$2:$D$8,MATCH(L69,고장심각도분류!$B$2:$B$8,0)),"")</f>
        <v>20</v>
      </c>
      <c r="P69" s="4" t="str">
        <f t="shared" si="4"/>
        <v>Y</v>
      </c>
      <c r="Q69" s="4" t="s">
        <v>271</v>
      </c>
      <c r="R69" s="4"/>
      <c r="S69" s="4"/>
      <c r="T69" s="4" t="str">
        <f t="shared" si="5"/>
        <v>확인필요</v>
      </c>
    </row>
    <row r="70" spans="1:20" s="6" customFormat="1" ht="25.5" customHeight="1">
      <c r="A70" s="4" t="s">
        <v>272</v>
      </c>
      <c r="B70" s="5">
        <v>45008</v>
      </c>
      <c r="C70" s="4">
        <v>113</v>
      </c>
      <c r="D70" s="4">
        <v>1213</v>
      </c>
      <c r="E70" s="4">
        <v>3</v>
      </c>
      <c r="F70" s="4" t="s">
        <v>273</v>
      </c>
      <c r="G70" s="4">
        <v>1974</v>
      </c>
      <c r="H70" s="4" t="s">
        <v>95</v>
      </c>
      <c r="I70" s="4" t="s">
        <v>237</v>
      </c>
      <c r="J70" s="4">
        <v>1998</v>
      </c>
      <c r="K70" s="4" t="s">
        <v>89</v>
      </c>
      <c r="L70" s="4" t="s">
        <v>59</v>
      </c>
      <c r="M70" s="4" t="str">
        <f>IFERROR(INDEX(고장심각도분류!$A$2:$A$8,MATCH(L70,고장심각도분류!$B$2:$B$8,0)),"")</f>
        <v>FC99</v>
      </c>
      <c r="N70" s="4">
        <f>IFERROR(INDEX(고장심각도분류!$C$2:$C$8,MATCH(L70,고장심각도분류!$B$2:$B$8,0)),"")</f>
        <v>2</v>
      </c>
      <c r="O70" s="4">
        <f>IFERROR(INDEX(고장심각도분류!$D$2:$D$8,MATCH(L70,고장심각도분류!$B$2:$B$8,0)),"")</f>
        <v>5</v>
      </c>
      <c r="P70" s="4" t="str">
        <f t="shared" si="4"/>
        <v>Y</v>
      </c>
      <c r="Q70" s="4" t="s">
        <v>274</v>
      </c>
      <c r="R70" s="4"/>
      <c r="S70" s="4"/>
      <c r="T70" s="4" t="str">
        <f t="shared" si="5"/>
        <v>확인필요</v>
      </c>
    </row>
    <row r="71" spans="1:20" s="6" customFormat="1" ht="25.5" customHeight="1">
      <c r="A71" s="4" t="s">
        <v>275</v>
      </c>
      <c r="B71" s="5">
        <v>45009</v>
      </c>
      <c r="C71" s="4">
        <v>113</v>
      </c>
      <c r="D71" s="4">
        <v>1213</v>
      </c>
      <c r="E71" s="4">
        <v>4</v>
      </c>
      <c r="F71" s="4" t="s">
        <v>276</v>
      </c>
      <c r="G71" s="4">
        <v>1988</v>
      </c>
      <c r="H71" s="4" t="s">
        <v>89</v>
      </c>
      <c r="I71" s="4" t="s">
        <v>247</v>
      </c>
      <c r="J71" s="4">
        <v>1974</v>
      </c>
      <c r="K71" s="4" t="s">
        <v>95</v>
      </c>
      <c r="L71" s="4" t="s">
        <v>59</v>
      </c>
      <c r="M71" s="4" t="str">
        <f>IFERROR(INDEX(고장심각도분류!$A$2:$A$8,MATCH(L71,고장심각도분류!$B$2:$B$8,0)),"")</f>
        <v>FC99</v>
      </c>
      <c r="N71" s="4">
        <f>IFERROR(INDEX(고장심각도분류!$C$2:$C$8,MATCH(L71,고장심각도분류!$B$2:$B$8,0)),"")</f>
        <v>2</v>
      </c>
      <c r="O71" s="4">
        <f>IFERROR(INDEX(고장심각도분류!$D$2:$D$8,MATCH(L71,고장심각도분류!$B$2:$B$8,0)),"")</f>
        <v>5</v>
      </c>
      <c r="P71" s="4" t="str">
        <f t="shared" si="4"/>
        <v>Y</v>
      </c>
      <c r="Q71" s="4" t="s">
        <v>277</v>
      </c>
      <c r="R71" s="4" t="s">
        <v>64</v>
      </c>
      <c r="S71" s="4" t="s">
        <v>278</v>
      </c>
      <c r="T71" s="4" t="str">
        <f t="shared" si="5"/>
        <v>OK</v>
      </c>
    </row>
    <row r="72" spans="1:20" s="6" customFormat="1" ht="25.5" customHeight="1">
      <c r="A72" s="4" t="s">
        <v>279</v>
      </c>
      <c r="B72" s="5">
        <v>45035</v>
      </c>
      <c r="C72" s="4">
        <v>116</v>
      </c>
      <c r="D72" s="4">
        <v>1516</v>
      </c>
      <c r="E72" s="4">
        <v>2</v>
      </c>
      <c r="F72" s="4">
        <v>64052</v>
      </c>
      <c r="G72" s="4">
        <v>1977</v>
      </c>
      <c r="H72" s="4" t="s">
        <v>141</v>
      </c>
      <c r="I72" s="4" t="s">
        <v>195</v>
      </c>
      <c r="J72" s="4">
        <v>1998</v>
      </c>
      <c r="K72" s="4" t="s">
        <v>89</v>
      </c>
      <c r="L72" s="4" t="s">
        <v>59</v>
      </c>
      <c r="M72" s="4" t="str">
        <f>IFERROR(INDEX(고장심각도분류!$A$2:$A$8,MATCH(L72,고장심각도분류!$B$2:$B$8,0)),"")</f>
        <v>FC99</v>
      </c>
      <c r="N72" s="4">
        <f>IFERROR(INDEX(고장심각도분류!$C$2:$C$8,MATCH(L72,고장심각도분류!$B$2:$B$8,0)),"")</f>
        <v>2</v>
      </c>
      <c r="O72" s="4">
        <f>IFERROR(INDEX(고장심각도분류!$D$2:$D$8,MATCH(L72,고장심각도분류!$B$2:$B$8,0)),"")</f>
        <v>5</v>
      </c>
      <c r="P72" s="4" t="str">
        <f t="shared" si="4"/>
        <v>Y</v>
      </c>
      <c r="Q72" s="4" t="s">
        <v>267</v>
      </c>
      <c r="R72" s="4" t="s">
        <v>64</v>
      </c>
      <c r="S72" s="4" t="s">
        <v>280</v>
      </c>
      <c r="T72" s="4" t="str">
        <f t="shared" si="5"/>
        <v>OK</v>
      </c>
    </row>
    <row r="73" spans="1:20" s="6" customFormat="1" ht="25.5" customHeight="1">
      <c r="A73" s="4" t="s">
        <v>281</v>
      </c>
      <c r="B73" s="5">
        <v>45076</v>
      </c>
      <c r="C73" s="4">
        <v>114</v>
      </c>
      <c r="D73" s="4">
        <v>1414</v>
      </c>
      <c r="E73" s="4">
        <v>4</v>
      </c>
      <c r="F73" s="4" t="s">
        <v>282</v>
      </c>
      <c r="G73" s="4">
        <v>1989</v>
      </c>
      <c r="H73" s="4" t="s">
        <v>91</v>
      </c>
      <c r="I73" s="4" t="s">
        <v>240</v>
      </c>
      <c r="J73" s="4">
        <v>1973</v>
      </c>
      <c r="K73" s="4" t="s">
        <v>95</v>
      </c>
      <c r="L73" s="4" t="s">
        <v>59</v>
      </c>
      <c r="M73" s="4" t="str">
        <f>IFERROR(INDEX(고장심각도분류!$A$2:$A$8,MATCH(L73,고장심각도분류!$B$2:$B$8,0)),"")</f>
        <v>FC99</v>
      </c>
      <c r="N73" s="4">
        <f>IFERROR(INDEX(고장심각도분류!$C$2:$C$8,MATCH(L73,고장심각도분류!$B$2:$B$8,0)),"")</f>
        <v>2</v>
      </c>
      <c r="O73" s="4">
        <f>IFERROR(INDEX(고장심각도분류!$D$2:$D$8,MATCH(L73,고장심각도분류!$B$2:$B$8,0)),"")</f>
        <v>5</v>
      </c>
      <c r="P73" s="4" t="str">
        <f t="shared" si="4"/>
        <v>Y</v>
      </c>
      <c r="Q73" s="4" t="s">
        <v>260</v>
      </c>
      <c r="R73" s="4" t="s">
        <v>64</v>
      </c>
      <c r="S73" s="4" t="s">
        <v>223</v>
      </c>
      <c r="T73" s="4" t="str">
        <f t="shared" si="5"/>
        <v>OK</v>
      </c>
    </row>
    <row r="74" spans="1:20" s="6" customFormat="1" ht="25.5" customHeight="1">
      <c r="A74" s="4" t="s">
        <v>283</v>
      </c>
      <c r="B74" s="5">
        <v>45077</v>
      </c>
      <c r="C74" s="4">
        <v>116</v>
      </c>
      <c r="D74" s="4">
        <v>1416</v>
      </c>
      <c r="E74" s="4">
        <v>2</v>
      </c>
      <c r="F74" s="4" t="s">
        <v>219</v>
      </c>
      <c r="G74" s="4">
        <v>1992</v>
      </c>
      <c r="H74" s="4" t="s">
        <v>89</v>
      </c>
      <c r="I74" s="4" t="s">
        <v>284</v>
      </c>
      <c r="J74" s="4">
        <v>1987</v>
      </c>
      <c r="K74" s="4" t="s">
        <v>89</v>
      </c>
      <c r="L74" s="4" t="s">
        <v>27</v>
      </c>
      <c r="M74" s="4" t="str">
        <f>IFERROR(INDEX(고장심각도분류!$A$2:$A$8,MATCH(L74,고장심각도분류!$B$2:$B$8,0)),"")</f>
        <v>FC02</v>
      </c>
      <c r="N74" s="4">
        <f>IFERROR(INDEX(고장심각도분류!$C$2:$C$8,MATCH(L74,고장심각도분류!$B$2:$B$8,0)),"")</f>
        <v>4</v>
      </c>
      <c r="O74" s="4">
        <f>IFERROR(INDEX(고장심각도분류!$D$2:$D$8,MATCH(L74,고장심각도분류!$B$2:$B$8,0)),"")</f>
        <v>20</v>
      </c>
      <c r="P74" s="4" t="str">
        <f t="shared" si="4"/>
        <v>Y</v>
      </c>
      <c r="Q74" s="4" t="s">
        <v>285</v>
      </c>
      <c r="R74" s="4"/>
      <c r="S74" s="4"/>
      <c r="T74" s="4" t="str">
        <f t="shared" si="5"/>
        <v>확인필요</v>
      </c>
    </row>
    <row r="75" spans="1:20" s="6" customFormat="1" ht="25.5" customHeight="1">
      <c r="A75" s="4" t="s">
        <v>286</v>
      </c>
      <c r="B75" s="5">
        <v>45082</v>
      </c>
      <c r="C75" s="4">
        <v>111</v>
      </c>
      <c r="D75" s="4">
        <v>1411</v>
      </c>
      <c r="E75" s="4">
        <v>1</v>
      </c>
      <c r="F75" s="4" t="s">
        <v>287</v>
      </c>
      <c r="G75" s="4">
        <v>1974</v>
      </c>
      <c r="H75" s="4" t="s">
        <v>95</v>
      </c>
      <c r="I75" s="4" t="s">
        <v>288</v>
      </c>
      <c r="J75" s="4">
        <v>1993</v>
      </c>
      <c r="K75" s="4" t="s">
        <v>89</v>
      </c>
      <c r="L75" s="4" t="s">
        <v>51</v>
      </c>
      <c r="M75" s="4" t="str">
        <f>IFERROR(INDEX(고장심각도분류!$A$2:$A$8,MATCH(L75,고장심각도분류!$B$2:$B$8,0)),"")</f>
        <v>FC05</v>
      </c>
      <c r="N75" s="4">
        <f>IFERROR(INDEX(고장심각도분류!$C$2:$C$8,MATCH(L75,고장심각도분류!$B$2:$B$8,0)),"")</f>
        <v>7</v>
      </c>
      <c r="O75" s="4">
        <f>IFERROR(INDEX(고장심각도분류!$D$2:$D$8,MATCH(L75,고장심각도분류!$B$2:$B$8,0)),"")</f>
        <v>100</v>
      </c>
      <c r="P75" s="4" t="str">
        <f t="shared" si="4"/>
        <v>Y</v>
      </c>
      <c r="Q75" s="4" t="s">
        <v>289</v>
      </c>
      <c r="R75" s="4"/>
      <c r="S75" s="4"/>
      <c r="T75" s="4" t="str">
        <f t="shared" si="5"/>
        <v>확인필요</v>
      </c>
    </row>
    <row r="76" spans="1:20" s="6" customFormat="1" ht="25.5" customHeight="1">
      <c r="A76" s="4" t="s">
        <v>290</v>
      </c>
      <c r="B76" s="5">
        <v>45082</v>
      </c>
      <c r="C76" s="4">
        <v>111</v>
      </c>
      <c r="D76" s="4">
        <v>1411</v>
      </c>
      <c r="E76" s="4">
        <v>2</v>
      </c>
      <c r="F76" s="4" t="s">
        <v>291</v>
      </c>
      <c r="G76" s="4">
        <v>1974</v>
      </c>
      <c r="H76" s="4" t="s">
        <v>95</v>
      </c>
      <c r="I76" s="4" t="s">
        <v>270</v>
      </c>
      <c r="J76" s="4">
        <v>1994</v>
      </c>
      <c r="K76" s="4" t="s">
        <v>89</v>
      </c>
      <c r="L76" s="4" t="s">
        <v>51</v>
      </c>
      <c r="M76" s="4" t="str">
        <f>IFERROR(INDEX(고장심각도분류!$A$2:$A$8,MATCH(L76,고장심각도분류!$B$2:$B$8,0)),"")</f>
        <v>FC05</v>
      </c>
      <c r="N76" s="4">
        <f>IFERROR(INDEX(고장심각도분류!$C$2:$C$8,MATCH(L76,고장심각도분류!$B$2:$B$8,0)),"")</f>
        <v>7</v>
      </c>
      <c r="O76" s="4">
        <f>IFERROR(INDEX(고장심각도분류!$D$2:$D$8,MATCH(L76,고장심각도분류!$B$2:$B$8,0)),"")</f>
        <v>100</v>
      </c>
      <c r="P76" s="4" t="str">
        <f t="shared" si="4"/>
        <v>Y</v>
      </c>
      <c r="Q76" s="4" t="s">
        <v>289</v>
      </c>
      <c r="R76" s="4"/>
      <c r="S76" s="4"/>
      <c r="T76" s="4" t="str">
        <f t="shared" si="5"/>
        <v>확인필요</v>
      </c>
    </row>
    <row r="77" spans="1:20" s="6" customFormat="1" ht="25.5" customHeight="1">
      <c r="A77" s="4" t="s">
        <v>292</v>
      </c>
      <c r="B77" s="5">
        <v>45082</v>
      </c>
      <c r="C77" s="4">
        <v>111</v>
      </c>
      <c r="D77" s="4">
        <v>1411</v>
      </c>
      <c r="E77" s="4">
        <v>3</v>
      </c>
      <c r="F77" s="4" t="s">
        <v>293</v>
      </c>
      <c r="G77" s="4">
        <v>1996</v>
      </c>
      <c r="H77" s="4" t="s">
        <v>89</v>
      </c>
      <c r="I77" s="4" t="s">
        <v>294</v>
      </c>
      <c r="J77" s="4">
        <v>1991</v>
      </c>
      <c r="K77" s="4" t="s">
        <v>91</v>
      </c>
      <c r="L77" s="4" t="s">
        <v>51</v>
      </c>
      <c r="M77" s="4" t="str">
        <f>IFERROR(INDEX(고장심각도분류!$A$2:$A$8,MATCH(L77,고장심각도분류!$B$2:$B$8,0)),"")</f>
        <v>FC05</v>
      </c>
      <c r="N77" s="4">
        <f>IFERROR(INDEX(고장심각도분류!$C$2:$C$8,MATCH(L77,고장심각도분류!$B$2:$B$8,0)),"")</f>
        <v>7</v>
      </c>
      <c r="O77" s="4">
        <f>IFERROR(INDEX(고장심각도분류!$D$2:$D$8,MATCH(L77,고장심각도분류!$B$2:$B$8,0)),"")</f>
        <v>100</v>
      </c>
      <c r="P77" s="4" t="str">
        <f t="shared" si="4"/>
        <v>Y</v>
      </c>
      <c r="Q77" s="4" t="s">
        <v>289</v>
      </c>
      <c r="R77" s="4"/>
      <c r="S77" s="4"/>
      <c r="T77" s="4" t="str">
        <f t="shared" si="5"/>
        <v>확인필요</v>
      </c>
    </row>
    <row r="78" spans="1:20" s="6" customFormat="1" ht="25.5" customHeight="1">
      <c r="A78" s="4" t="s">
        <v>295</v>
      </c>
      <c r="B78" s="5">
        <v>45082</v>
      </c>
      <c r="C78" s="4">
        <v>111</v>
      </c>
      <c r="D78" s="4">
        <v>1411</v>
      </c>
      <c r="E78" s="4">
        <v>4</v>
      </c>
      <c r="F78" s="4" t="s">
        <v>296</v>
      </c>
      <c r="G78" s="4">
        <v>1992</v>
      </c>
      <c r="H78" s="4" t="s">
        <v>89</v>
      </c>
      <c r="I78" s="4" t="s">
        <v>297</v>
      </c>
      <c r="J78" s="4">
        <v>1994</v>
      </c>
      <c r="K78" s="4" t="s">
        <v>89</v>
      </c>
      <c r="L78" s="4" t="s">
        <v>59</v>
      </c>
      <c r="M78" s="4" t="str">
        <f>IFERROR(INDEX(고장심각도분류!$A$2:$A$8,MATCH(L78,고장심각도분류!$B$2:$B$8,0)),"")</f>
        <v>FC99</v>
      </c>
      <c r="N78" s="4">
        <f>IFERROR(INDEX(고장심각도분류!$C$2:$C$8,MATCH(L78,고장심각도분류!$B$2:$B$8,0)),"")</f>
        <v>2</v>
      </c>
      <c r="O78" s="4">
        <f>IFERROR(INDEX(고장심각도분류!$D$2:$D$8,MATCH(L78,고장심각도분류!$B$2:$B$8,0)),"")</f>
        <v>5</v>
      </c>
      <c r="P78" s="4" t="str">
        <f t="shared" si="4"/>
        <v>Y</v>
      </c>
      <c r="Q78" s="4" t="s">
        <v>260</v>
      </c>
      <c r="R78" s="4" t="s">
        <v>64</v>
      </c>
      <c r="S78" s="4" t="s">
        <v>298</v>
      </c>
      <c r="T78" s="4" t="str">
        <f t="shared" si="5"/>
        <v>OK</v>
      </c>
    </row>
    <row r="79" spans="1:20" s="6" customFormat="1" ht="25.5" customHeight="1">
      <c r="A79" s="4" t="s">
        <v>299</v>
      </c>
      <c r="B79" s="5">
        <v>45105</v>
      </c>
      <c r="C79" s="4">
        <v>282</v>
      </c>
      <c r="D79" s="4">
        <v>2282</v>
      </c>
      <c r="E79" s="4">
        <v>2</v>
      </c>
      <c r="F79" s="4" t="s">
        <v>300</v>
      </c>
      <c r="G79" s="4">
        <v>2023</v>
      </c>
      <c r="H79" s="4" t="s">
        <v>187</v>
      </c>
      <c r="I79" s="4" t="s">
        <v>301</v>
      </c>
      <c r="J79" s="4">
        <v>2020</v>
      </c>
      <c r="K79" s="4" t="s">
        <v>187</v>
      </c>
      <c r="L79" s="4" t="s">
        <v>27</v>
      </c>
      <c r="M79" s="4" t="str">
        <f>IFERROR(INDEX(고장심각도분류!$A$2:$A$8,MATCH(L79,고장심각도분류!$B$2:$B$8,0)),"")</f>
        <v>FC02</v>
      </c>
      <c r="N79" s="4">
        <f>IFERROR(INDEX(고장심각도분류!$C$2:$C$8,MATCH(L79,고장심각도분류!$B$2:$B$8,0)),"")</f>
        <v>4</v>
      </c>
      <c r="O79" s="4">
        <f>IFERROR(INDEX(고장심각도분류!$D$2:$D$8,MATCH(L79,고장심각도분류!$B$2:$B$8,0)),"")</f>
        <v>20</v>
      </c>
      <c r="P79" s="4" t="str">
        <f t="shared" si="4"/>
        <v>Y</v>
      </c>
      <c r="Q79" s="4" t="s">
        <v>302</v>
      </c>
      <c r="R79" s="4"/>
      <c r="S79" s="4"/>
      <c r="T79" s="4" t="str">
        <f t="shared" si="5"/>
        <v>확인필요</v>
      </c>
    </row>
    <row r="80" spans="1:20" s="6" customFormat="1" ht="25.5" customHeight="1">
      <c r="A80" s="4" t="s">
        <v>303</v>
      </c>
      <c r="B80" s="5">
        <v>45108</v>
      </c>
      <c r="C80" s="4">
        <v>111</v>
      </c>
      <c r="D80" s="4">
        <v>1411</v>
      </c>
      <c r="E80" s="4">
        <v>2</v>
      </c>
      <c r="F80" s="4" t="s">
        <v>270</v>
      </c>
      <c r="G80" s="4">
        <v>1994</v>
      </c>
      <c r="H80" s="4" t="s">
        <v>89</v>
      </c>
      <c r="I80" s="4" t="s">
        <v>304</v>
      </c>
      <c r="J80" s="4">
        <v>1995</v>
      </c>
      <c r="K80" s="4" t="s">
        <v>91</v>
      </c>
      <c r="L80" s="4" t="s">
        <v>27</v>
      </c>
      <c r="M80" s="4" t="str">
        <f>IFERROR(INDEX(고장심각도분류!$A$2:$A$8,MATCH(L80,고장심각도분류!$B$2:$B$8,0)),"")</f>
        <v>FC02</v>
      </c>
      <c r="N80" s="4">
        <f>IFERROR(INDEX(고장심각도분류!$C$2:$C$8,MATCH(L80,고장심각도분류!$B$2:$B$8,0)),"")</f>
        <v>4</v>
      </c>
      <c r="O80" s="4">
        <f>IFERROR(INDEX(고장심각도분류!$D$2:$D$8,MATCH(L80,고장심각도분류!$B$2:$B$8,0)),"")</f>
        <v>20</v>
      </c>
      <c r="P80" s="4" t="str">
        <f t="shared" si="4"/>
        <v>Y</v>
      </c>
      <c r="Q80" s="4" t="s">
        <v>285</v>
      </c>
      <c r="R80" s="4"/>
      <c r="S80" s="4"/>
      <c r="T80" s="4" t="str">
        <f t="shared" si="5"/>
        <v>확인필요</v>
      </c>
    </row>
    <row r="81" spans="1:20" s="6" customFormat="1" ht="25.5" customHeight="1">
      <c r="A81" s="4" t="s">
        <v>305</v>
      </c>
      <c r="B81" s="5">
        <v>45118</v>
      </c>
      <c r="C81" s="4">
        <v>116</v>
      </c>
      <c r="D81" s="4">
        <v>1216</v>
      </c>
      <c r="E81" s="4">
        <v>4</v>
      </c>
      <c r="F81" s="4" t="s">
        <v>306</v>
      </c>
      <c r="G81" s="4">
        <v>1989</v>
      </c>
      <c r="H81" s="4" t="s">
        <v>91</v>
      </c>
      <c r="I81" s="4" t="s">
        <v>307</v>
      </c>
      <c r="J81" s="4">
        <v>1991</v>
      </c>
      <c r="K81" s="4" t="s">
        <v>89</v>
      </c>
      <c r="L81" s="4" t="s">
        <v>59</v>
      </c>
      <c r="M81" s="4" t="str">
        <f>IFERROR(INDEX(고장심각도분류!$A$2:$A$8,MATCH(L81,고장심각도분류!$B$2:$B$8,0)),"")</f>
        <v>FC99</v>
      </c>
      <c r="N81" s="4">
        <f>IFERROR(INDEX(고장심각도분류!$C$2:$C$8,MATCH(L81,고장심각도분류!$B$2:$B$8,0)),"")</f>
        <v>2</v>
      </c>
      <c r="O81" s="4">
        <f>IFERROR(INDEX(고장심각도분류!$D$2:$D$8,MATCH(L81,고장심각도분류!$B$2:$B$8,0)),"")</f>
        <v>5</v>
      </c>
      <c r="P81" s="4" t="str">
        <f t="shared" si="4"/>
        <v>Y</v>
      </c>
      <c r="Q81" s="4" t="s">
        <v>267</v>
      </c>
      <c r="R81" s="4" t="s">
        <v>64</v>
      </c>
      <c r="S81" s="4" t="s">
        <v>308</v>
      </c>
      <c r="T81" s="4" t="str">
        <f t="shared" si="5"/>
        <v>OK</v>
      </c>
    </row>
    <row r="82" spans="1:20" s="6" customFormat="1" ht="25.5" customHeight="1">
      <c r="A82" s="4" t="s">
        <v>309</v>
      </c>
      <c r="B82" s="5">
        <v>45128</v>
      </c>
      <c r="C82" s="4">
        <v>113</v>
      </c>
      <c r="D82" s="4">
        <v>1413</v>
      </c>
      <c r="E82" s="4">
        <v>1</v>
      </c>
      <c r="F82" s="4" t="s">
        <v>310</v>
      </c>
      <c r="G82" s="4">
        <v>1989</v>
      </c>
      <c r="H82" s="4" t="s">
        <v>89</v>
      </c>
      <c r="I82" s="4" t="s">
        <v>263</v>
      </c>
      <c r="J82" s="4">
        <v>1996</v>
      </c>
      <c r="K82" s="4" t="s">
        <v>89</v>
      </c>
      <c r="L82" s="4" t="s">
        <v>59</v>
      </c>
      <c r="M82" s="4" t="str">
        <f>IFERROR(INDEX(고장심각도분류!$A$2:$A$8,MATCH(L82,고장심각도분류!$B$2:$B$8,0)),"")</f>
        <v>FC99</v>
      </c>
      <c r="N82" s="4">
        <f>IFERROR(INDEX(고장심각도분류!$C$2:$C$8,MATCH(L82,고장심각도분류!$B$2:$B$8,0)),"")</f>
        <v>2</v>
      </c>
      <c r="O82" s="4">
        <f>IFERROR(INDEX(고장심각도분류!$D$2:$D$8,MATCH(L82,고장심각도분류!$B$2:$B$8,0)),"")</f>
        <v>5</v>
      </c>
      <c r="P82" s="4" t="str">
        <f t="shared" si="4"/>
        <v>Y</v>
      </c>
      <c r="Q82" s="4" t="s">
        <v>311</v>
      </c>
      <c r="R82" s="4"/>
      <c r="S82" s="4"/>
      <c r="T82" s="4" t="str">
        <f t="shared" si="5"/>
        <v>확인필요</v>
      </c>
    </row>
    <row r="83" spans="1:20" s="6" customFormat="1" ht="25.5" customHeight="1">
      <c r="A83" s="4" t="s">
        <v>312</v>
      </c>
      <c r="B83" s="5"/>
      <c r="C83" s="4">
        <v>113</v>
      </c>
      <c r="D83" s="4">
        <v>1413</v>
      </c>
      <c r="E83" s="4">
        <v>3</v>
      </c>
      <c r="F83" s="4" t="s">
        <v>313</v>
      </c>
      <c r="G83" s="4">
        <v>1988</v>
      </c>
      <c r="H83" s="4" t="s">
        <v>89</v>
      </c>
      <c r="I83" s="4" t="s">
        <v>266</v>
      </c>
      <c r="J83" s="4">
        <v>1989</v>
      </c>
      <c r="K83" s="4" t="s">
        <v>91</v>
      </c>
      <c r="L83" s="4" t="s">
        <v>51</v>
      </c>
      <c r="M83" s="4" t="str">
        <f>IFERROR(INDEX(고장심각도분류!$A$2:$A$8,MATCH(L83,고장심각도분류!$B$2:$B$8,0)),"")</f>
        <v>FC05</v>
      </c>
      <c r="N83" s="4">
        <f>IFERROR(INDEX(고장심각도분류!$C$2:$C$8,MATCH(L83,고장심각도분류!$B$2:$B$8,0)),"")</f>
        <v>7</v>
      </c>
      <c r="O83" s="4">
        <f>IFERROR(INDEX(고장심각도분류!$D$2:$D$8,MATCH(L83,고장심각도분류!$B$2:$B$8,0)),"")</f>
        <v>100</v>
      </c>
      <c r="P83" s="4" t="str">
        <f t="shared" si="4"/>
        <v>Y</v>
      </c>
      <c r="Q83" s="4" t="s">
        <v>289</v>
      </c>
      <c r="R83" s="4" t="s">
        <v>64</v>
      </c>
      <c r="S83" s="4" t="s">
        <v>261</v>
      </c>
      <c r="T83" s="4" t="str">
        <f t="shared" si="5"/>
        <v>확인필요</v>
      </c>
    </row>
    <row r="84" spans="1:20" s="6" customFormat="1" ht="25.5" customHeight="1">
      <c r="A84" s="4" t="s">
        <v>314</v>
      </c>
      <c r="B84" s="5">
        <v>45155</v>
      </c>
      <c r="C84" s="4">
        <v>112</v>
      </c>
      <c r="D84" s="4">
        <v>1112</v>
      </c>
      <c r="E84" s="4">
        <v>4</v>
      </c>
      <c r="F84" s="4" t="s">
        <v>315</v>
      </c>
      <c r="G84" s="4">
        <v>1992</v>
      </c>
      <c r="H84" s="4" t="s">
        <v>89</v>
      </c>
      <c r="I84" s="4">
        <v>9134584</v>
      </c>
      <c r="J84" s="4">
        <v>1991</v>
      </c>
      <c r="K84" s="4" t="s">
        <v>105</v>
      </c>
      <c r="L84" s="4" t="s">
        <v>27</v>
      </c>
      <c r="M84" s="4" t="str">
        <f>IFERROR(INDEX(고장심각도분류!$A$2:$A$8,MATCH(L84,고장심각도분류!$B$2:$B$8,0)),"")</f>
        <v>FC02</v>
      </c>
      <c r="N84" s="4">
        <f>IFERROR(INDEX(고장심각도분류!$C$2:$C$8,MATCH(L84,고장심각도분류!$B$2:$B$8,0)),"")</f>
        <v>4</v>
      </c>
      <c r="O84" s="4">
        <f>IFERROR(INDEX(고장심각도분류!$D$2:$D$8,MATCH(L84,고장심각도분류!$B$2:$B$8,0)),"")</f>
        <v>20</v>
      </c>
      <c r="P84" s="4" t="str">
        <f t="shared" si="4"/>
        <v>Y</v>
      </c>
      <c r="Q84" s="4" t="s">
        <v>316</v>
      </c>
      <c r="R84" s="4"/>
      <c r="S84" s="4"/>
      <c r="T84" s="4" t="str">
        <f t="shared" si="5"/>
        <v>확인필요</v>
      </c>
    </row>
    <row r="85" spans="1:20" s="6" customFormat="1" ht="25.5" customHeight="1">
      <c r="A85" s="4" t="s">
        <v>317</v>
      </c>
      <c r="B85" s="5">
        <v>45194</v>
      </c>
      <c r="C85" s="4">
        <v>112</v>
      </c>
      <c r="D85" s="4">
        <v>1812</v>
      </c>
      <c r="E85" s="4">
        <v>3</v>
      </c>
      <c r="F85" s="4" t="s">
        <v>318</v>
      </c>
      <c r="G85" s="4">
        <v>1994</v>
      </c>
      <c r="H85" s="4" t="s">
        <v>89</v>
      </c>
      <c r="I85" s="4">
        <v>9134510</v>
      </c>
      <c r="J85" s="4">
        <v>1991</v>
      </c>
      <c r="K85" s="4" t="s">
        <v>105</v>
      </c>
      <c r="L85" s="4" t="s">
        <v>59</v>
      </c>
      <c r="M85" s="4" t="str">
        <f>IFERROR(INDEX(고장심각도분류!$A$2:$A$8,MATCH(L85,고장심각도분류!$B$2:$B$8,0)),"")</f>
        <v>FC99</v>
      </c>
      <c r="N85" s="4">
        <f>IFERROR(INDEX(고장심각도분류!$C$2:$C$8,MATCH(L85,고장심각도분류!$B$2:$B$8,0)),"")</f>
        <v>2</v>
      </c>
      <c r="O85" s="4">
        <f>IFERROR(INDEX(고장심각도분류!$D$2:$D$8,MATCH(L85,고장심각도분류!$B$2:$B$8,0)),"")</f>
        <v>5</v>
      </c>
      <c r="P85" s="4" t="str">
        <f t="shared" si="4"/>
        <v>Y</v>
      </c>
      <c r="Q85" s="4" t="s">
        <v>260</v>
      </c>
      <c r="R85" s="4" t="s">
        <v>64</v>
      </c>
      <c r="S85" s="4" t="s">
        <v>264</v>
      </c>
      <c r="T85" s="4" t="str">
        <f t="shared" si="5"/>
        <v>OK</v>
      </c>
    </row>
    <row r="86" spans="1:20" s="6" customFormat="1" ht="25.5" customHeight="1">
      <c r="A86" s="4" t="s">
        <v>319</v>
      </c>
      <c r="B86" s="5">
        <v>45195</v>
      </c>
      <c r="C86" s="4">
        <v>116</v>
      </c>
      <c r="D86" s="4">
        <v>1816</v>
      </c>
      <c r="E86" s="4">
        <v>3</v>
      </c>
      <c r="F86" s="4" t="s">
        <v>320</v>
      </c>
      <c r="G86" s="4">
        <v>1974</v>
      </c>
      <c r="H86" s="4" t="s">
        <v>95</v>
      </c>
      <c r="I86" s="4">
        <v>8833358</v>
      </c>
      <c r="J86" s="4">
        <v>1988</v>
      </c>
      <c r="K86" s="4" t="s">
        <v>105</v>
      </c>
      <c r="L86" s="4" t="s">
        <v>59</v>
      </c>
      <c r="M86" s="4" t="str">
        <f>IFERROR(INDEX(고장심각도분류!$A$2:$A$8,MATCH(L86,고장심각도분류!$B$2:$B$8,0)),"")</f>
        <v>FC99</v>
      </c>
      <c r="N86" s="4">
        <f>IFERROR(INDEX(고장심각도분류!$C$2:$C$8,MATCH(L86,고장심각도분류!$B$2:$B$8,0)),"")</f>
        <v>2</v>
      </c>
      <c r="O86" s="4">
        <f>IFERROR(INDEX(고장심각도분류!$D$2:$D$8,MATCH(L86,고장심각도분류!$B$2:$B$8,0)),"")</f>
        <v>5</v>
      </c>
      <c r="P86" s="4" t="str">
        <f t="shared" si="4"/>
        <v>Y</v>
      </c>
      <c r="Q86" s="4" t="s">
        <v>321</v>
      </c>
      <c r="R86" s="4" t="s">
        <v>64</v>
      </c>
      <c r="S86" s="4" t="s">
        <v>322</v>
      </c>
      <c r="T86" s="4" t="str">
        <f t="shared" si="5"/>
        <v>OK</v>
      </c>
    </row>
    <row r="87" spans="1:20" s="6" customFormat="1" ht="25.5" customHeight="1">
      <c r="A87" s="4" t="s">
        <v>323</v>
      </c>
      <c r="B87" s="5">
        <v>45222</v>
      </c>
      <c r="C87" s="4">
        <v>112</v>
      </c>
      <c r="D87" s="4">
        <v>1512</v>
      </c>
      <c r="E87" s="4">
        <v>2</v>
      </c>
      <c r="F87" s="4" t="s">
        <v>136</v>
      </c>
      <c r="G87" s="4">
        <v>1989</v>
      </c>
      <c r="H87" s="4" t="s">
        <v>91</v>
      </c>
      <c r="I87" s="4">
        <v>96320326</v>
      </c>
      <c r="J87" s="4">
        <v>1996</v>
      </c>
      <c r="K87" s="4" t="s">
        <v>105</v>
      </c>
      <c r="L87" s="4" t="s">
        <v>59</v>
      </c>
      <c r="M87" s="4" t="str">
        <f>IFERROR(INDEX(고장심각도분류!$A$2:$A$8,MATCH(L87,고장심각도분류!$B$2:$B$8,0)),"")</f>
        <v>FC99</v>
      </c>
      <c r="N87" s="4">
        <f>IFERROR(INDEX(고장심각도분류!$C$2:$C$8,MATCH(L87,고장심각도분류!$B$2:$B$8,0)),"")</f>
        <v>2</v>
      </c>
      <c r="O87" s="4">
        <f>IFERROR(INDEX(고장심각도분류!$D$2:$D$8,MATCH(L87,고장심각도분류!$B$2:$B$8,0)),"")</f>
        <v>5</v>
      </c>
      <c r="P87" s="4" t="str">
        <f t="shared" si="4"/>
        <v>Y</v>
      </c>
      <c r="Q87" s="4" t="s">
        <v>267</v>
      </c>
      <c r="R87" s="4" t="s">
        <v>64</v>
      </c>
      <c r="S87" s="4" t="s">
        <v>308</v>
      </c>
      <c r="T87" s="4" t="str">
        <f t="shared" si="5"/>
        <v>OK</v>
      </c>
    </row>
    <row r="88" spans="1:20" s="6" customFormat="1" ht="25.5" customHeight="1">
      <c r="A88" s="4" t="s">
        <v>324</v>
      </c>
      <c r="B88" s="5">
        <v>45238</v>
      </c>
      <c r="C88" s="4">
        <v>114</v>
      </c>
      <c r="D88" s="4">
        <v>1814</v>
      </c>
      <c r="E88" s="4">
        <v>1</v>
      </c>
      <c r="F88" s="4" t="s">
        <v>325</v>
      </c>
      <c r="G88" s="4">
        <v>1988</v>
      </c>
      <c r="H88" s="4" t="s">
        <v>89</v>
      </c>
      <c r="I88" s="4">
        <v>96320368</v>
      </c>
      <c r="J88" s="4">
        <v>1996</v>
      </c>
      <c r="K88" s="4" t="s">
        <v>105</v>
      </c>
      <c r="L88" s="4" t="s">
        <v>59</v>
      </c>
      <c r="M88" s="4" t="str">
        <f>IFERROR(INDEX(고장심각도분류!$A$2:$A$8,MATCH(L88,고장심각도분류!$B$2:$B$8,0)),"")</f>
        <v>FC99</v>
      </c>
      <c r="N88" s="4">
        <f>IFERROR(INDEX(고장심각도분류!$C$2:$C$8,MATCH(L88,고장심각도분류!$B$2:$B$8,0)),"")</f>
        <v>2</v>
      </c>
      <c r="O88" s="4">
        <f>IFERROR(INDEX(고장심각도분류!$D$2:$D$8,MATCH(L88,고장심각도분류!$B$2:$B$8,0)),"")</f>
        <v>5</v>
      </c>
      <c r="P88" s="4" t="str">
        <f t="shared" si="4"/>
        <v>Y</v>
      </c>
      <c r="Q88" s="4" t="s">
        <v>326</v>
      </c>
      <c r="R88" s="4" t="s">
        <v>64</v>
      </c>
      <c r="S88" s="4" t="s">
        <v>327</v>
      </c>
      <c r="T88" s="4" t="str">
        <f t="shared" si="5"/>
        <v>OK</v>
      </c>
    </row>
    <row r="89" spans="1:20" s="6" customFormat="1" ht="25.5" customHeight="1">
      <c r="A89" s="4" t="s">
        <v>328</v>
      </c>
      <c r="B89" s="5">
        <v>45278</v>
      </c>
      <c r="C89" s="4">
        <v>271</v>
      </c>
      <c r="D89" s="4">
        <v>2871</v>
      </c>
      <c r="E89" s="4">
        <v>4</v>
      </c>
      <c r="F89" s="4" t="s">
        <v>329</v>
      </c>
      <c r="G89" s="4">
        <v>2008</v>
      </c>
      <c r="H89" s="4" t="s">
        <v>330</v>
      </c>
      <c r="I89" s="4" t="s">
        <v>331</v>
      </c>
      <c r="J89" s="4">
        <v>2008</v>
      </c>
      <c r="K89" s="4" t="s">
        <v>330</v>
      </c>
      <c r="L89" s="4" t="s">
        <v>59</v>
      </c>
      <c r="M89" s="4" t="str">
        <f>IFERROR(INDEX(고장심각도분류!$A$2:$A$8,MATCH(L89,고장심각도분류!$B$2:$B$8,0)),"")</f>
        <v>FC99</v>
      </c>
      <c r="N89" s="4">
        <f>IFERROR(INDEX(고장심각도분류!$C$2:$C$8,MATCH(L89,고장심각도분류!$B$2:$B$8,0)),"")</f>
        <v>2</v>
      </c>
      <c r="O89" s="4">
        <f>IFERROR(INDEX(고장심각도분류!$D$2:$D$8,MATCH(L89,고장심각도분류!$B$2:$B$8,0)),"")</f>
        <v>5</v>
      </c>
      <c r="P89" s="4" t="str">
        <f t="shared" si="4"/>
        <v>Y</v>
      </c>
      <c r="Q89" s="4" t="s">
        <v>332</v>
      </c>
      <c r="R89" s="4"/>
      <c r="S89" s="4"/>
      <c r="T89" s="4" t="str">
        <f t="shared" si="5"/>
        <v>확인필요</v>
      </c>
    </row>
    <row r="90" spans="1:20" s="6" customFormat="1" ht="25.5" customHeight="1">
      <c r="A90" s="4" t="s">
        <v>333</v>
      </c>
      <c r="B90" s="5">
        <v>45280</v>
      </c>
      <c r="C90" s="4">
        <v>112</v>
      </c>
      <c r="D90" s="4">
        <v>1112</v>
      </c>
      <c r="E90" s="4">
        <v>3</v>
      </c>
      <c r="F90" s="4" t="s">
        <v>334</v>
      </c>
      <c r="G90" s="4">
        <v>1992</v>
      </c>
      <c r="H90" s="4" t="s">
        <v>89</v>
      </c>
      <c r="I90" s="4">
        <v>9134564</v>
      </c>
      <c r="J90" s="4">
        <v>1991</v>
      </c>
      <c r="K90" s="4" t="s">
        <v>105</v>
      </c>
      <c r="L90" s="4" t="s">
        <v>27</v>
      </c>
      <c r="M90" s="4" t="str">
        <f>IFERROR(INDEX(고장심각도분류!$A$2:$A$8,MATCH(L90,고장심각도분류!$B$2:$B$8,0)),"")</f>
        <v>FC02</v>
      </c>
      <c r="N90" s="4">
        <f>IFERROR(INDEX(고장심각도분류!$C$2:$C$8,MATCH(L90,고장심각도분류!$B$2:$B$8,0)),"")</f>
        <v>4</v>
      </c>
      <c r="O90" s="4">
        <f>IFERROR(INDEX(고장심각도분류!$D$2:$D$8,MATCH(L90,고장심각도분류!$B$2:$B$8,0)),"")</f>
        <v>20</v>
      </c>
      <c r="P90" s="4" t="str">
        <f t="shared" si="4"/>
        <v>Y</v>
      </c>
      <c r="Q90" s="4" t="s">
        <v>335</v>
      </c>
      <c r="R90" s="4"/>
      <c r="S90" s="4"/>
      <c r="T90" s="4" t="str">
        <f t="shared" si="5"/>
        <v>확인필요</v>
      </c>
    </row>
    <row r="91" spans="1:20" s="6" customFormat="1" ht="25.5" customHeight="1">
      <c r="A91" s="4" t="s">
        <v>336</v>
      </c>
      <c r="B91" s="5">
        <v>45286</v>
      </c>
      <c r="C91" s="4">
        <v>112</v>
      </c>
      <c r="D91" s="4">
        <v>1212</v>
      </c>
      <c r="E91" s="4">
        <v>1</v>
      </c>
      <c r="F91" s="4" t="s">
        <v>337</v>
      </c>
      <c r="G91" s="4">
        <v>1977</v>
      </c>
      <c r="H91" s="4" t="s">
        <v>95</v>
      </c>
      <c r="I91" s="4" t="s">
        <v>282</v>
      </c>
      <c r="J91" s="4">
        <v>1989</v>
      </c>
      <c r="K91" s="4" t="s">
        <v>91</v>
      </c>
      <c r="L91" s="4" t="s">
        <v>59</v>
      </c>
      <c r="M91" s="4" t="str">
        <f>IFERROR(INDEX(고장심각도분류!$A$2:$A$8,MATCH(L91,고장심각도분류!$B$2:$B$8,0)),"")</f>
        <v>FC99</v>
      </c>
      <c r="N91" s="4">
        <f>IFERROR(INDEX(고장심각도분류!$C$2:$C$8,MATCH(L91,고장심각도분류!$B$2:$B$8,0)),"")</f>
        <v>2</v>
      </c>
      <c r="O91" s="4">
        <f>IFERROR(INDEX(고장심각도분류!$D$2:$D$8,MATCH(L91,고장심각도분류!$B$2:$B$8,0)),"")</f>
        <v>5</v>
      </c>
      <c r="P91" s="4" t="str">
        <f t="shared" si="4"/>
        <v>Y</v>
      </c>
      <c r="Q91" s="4" t="s">
        <v>338</v>
      </c>
      <c r="R91" s="4"/>
      <c r="S91" s="4"/>
      <c r="T91" s="4" t="str">
        <f t="shared" si="5"/>
        <v>확인필요</v>
      </c>
    </row>
    <row r="92" spans="1:20" s="6" customFormat="1" ht="25.5" customHeight="1">
      <c r="A92" s="4" t="s">
        <v>339</v>
      </c>
      <c r="B92" s="5">
        <v>45287</v>
      </c>
      <c r="C92" s="4">
        <v>114</v>
      </c>
      <c r="D92" s="4">
        <v>1714</v>
      </c>
      <c r="E92" s="4">
        <v>2</v>
      </c>
      <c r="F92" s="4" t="s">
        <v>340</v>
      </c>
      <c r="G92" s="4">
        <v>1988</v>
      </c>
      <c r="H92" s="4" t="s">
        <v>89</v>
      </c>
      <c r="I92" s="4" t="s">
        <v>313</v>
      </c>
      <c r="J92" s="4">
        <v>1988</v>
      </c>
      <c r="K92" s="4" t="s">
        <v>89</v>
      </c>
      <c r="L92" s="4" t="s">
        <v>59</v>
      </c>
      <c r="M92" s="4" t="str">
        <f>IFERROR(INDEX(고장심각도분류!$A$2:$A$8,MATCH(L92,고장심각도분류!$B$2:$B$8,0)),"")</f>
        <v>FC99</v>
      </c>
      <c r="N92" s="4">
        <f>IFERROR(INDEX(고장심각도분류!$C$2:$C$8,MATCH(L92,고장심각도분류!$B$2:$B$8,0)),"")</f>
        <v>2</v>
      </c>
      <c r="O92" s="4">
        <f>IFERROR(INDEX(고장심각도분류!$D$2:$D$8,MATCH(L92,고장심각도분류!$B$2:$B$8,0)),"")</f>
        <v>5</v>
      </c>
      <c r="P92" s="4" t="str">
        <f t="shared" si="4"/>
        <v>Y</v>
      </c>
      <c r="Q92" s="4" t="s">
        <v>341</v>
      </c>
      <c r="R92" s="4"/>
      <c r="S92" s="4"/>
      <c r="T92" s="4" t="str">
        <f t="shared" si="5"/>
        <v>확인필요</v>
      </c>
    </row>
    <row r="93" spans="1:20" s="6" customFormat="1" ht="25.5" customHeight="1">
      <c r="A93" s="4" t="s">
        <v>342</v>
      </c>
      <c r="B93" s="5">
        <v>45317</v>
      </c>
      <c r="C93" s="4">
        <v>112</v>
      </c>
      <c r="D93" s="4">
        <v>1412</v>
      </c>
      <c r="E93" s="4">
        <v>2</v>
      </c>
      <c r="F93" s="4" t="s">
        <v>343</v>
      </c>
      <c r="G93" s="4">
        <v>1989</v>
      </c>
      <c r="H93" s="4" t="s">
        <v>91</v>
      </c>
      <c r="I93" s="4" t="s">
        <v>276</v>
      </c>
      <c r="J93" s="4">
        <v>1988</v>
      </c>
      <c r="K93" s="4" t="s">
        <v>89</v>
      </c>
      <c r="L93" s="4" t="s">
        <v>59</v>
      </c>
      <c r="M93" s="4" t="str">
        <f>IFERROR(INDEX(고장심각도분류!$A$2:$A$8,MATCH(L93,고장심각도분류!$B$2:$B$8,0)),"")</f>
        <v>FC99</v>
      </c>
      <c r="N93" s="4">
        <f>IFERROR(INDEX(고장심각도분류!$C$2:$C$8,MATCH(L93,고장심각도분류!$B$2:$B$8,0)),"")</f>
        <v>2</v>
      </c>
      <c r="O93" s="4">
        <f>IFERROR(INDEX(고장심각도분류!$D$2:$D$8,MATCH(L93,고장심각도분류!$B$2:$B$8,0)),"")</f>
        <v>5</v>
      </c>
      <c r="P93" s="4" t="str">
        <f t="shared" si="4"/>
        <v>Y</v>
      </c>
      <c r="Q93" s="4" t="s">
        <v>260</v>
      </c>
      <c r="R93" s="4" t="s">
        <v>64</v>
      </c>
      <c r="S93" s="4" t="s">
        <v>264</v>
      </c>
      <c r="T93" s="4" t="str">
        <f t="shared" si="5"/>
        <v>OK</v>
      </c>
    </row>
    <row r="94" spans="1:20" s="6" customFormat="1" ht="25.5" customHeight="1">
      <c r="A94" s="4" t="s">
        <v>344</v>
      </c>
      <c r="B94" s="5">
        <v>45328</v>
      </c>
      <c r="C94" s="4">
        <v>112</v>
      </c>
      <c r="D94" s="4">
        <v>1412</v>
      </c>
      <c r="E94" s="4">
        <v>1</v>
      </c>
      <c r="F94" s="4" t="s">
        <v>345</v>
      </c>
      <c r="G94" s="4">
        <v>1996</v>
      </c>
      <c r="H94" s="4" t="s">
        <v>89</v>
      </c>
      <c r="I94" s="4" t="s">
        <v>306</v>
      </c>
      <c r="J94" s="4">
        <v>1989</v>
      </c>
      <c r="K94" s="4" t="s">
        <v>91</v>
      </c>
      <c r="L94" s="4" t="s">
        <v>59</v>
      </c>
      <c r="M94" s="4" t="str">
        <f>IFERROR(INDEX(고장심각도분류!$A$2:$A$8,MATCH(L94,고장심각도분류!$B$2:$B$8,0)),"")</f>
        <v>FC99</v>
      </c>
      <c r="N94" s="4">
        <f>IFERROR(INDEX(고장심각도분류!$C$2:$C$8,MATCH(L94,고장심각도분류!$B$2:$B$8,0)),"")</f>
        <v>2</v>
      </c>
      <c r="O94" s="4">
        <f>IFERROR(INDEX(고장심각도분류!$D$2:$D$8,MATCH(L94,고장심각도분류!$B$2:$B$8,0)),"")</f>
        <v>5</v>
      </c>
      <c r="P94" s="4" t="str">
        <f t="shared" si="4"/>
        <v>Y</v>
      </c>
      <c r="Q94" s="4" t="s">
        <v>267</v>
      </c>
      <c r="R94" s="4" t="s">
        <v>64</v>
      </c>
      <c r="S94" s="4" t="s">
        <v>308</v>
      </c>
      <c r="T94" s="4" t="str">
        <f t="shared" si="5"/>
        <v>OK</v>
      </c>
    </row>
    <row r="95" spans="1:20" s="6" customFormat="1" ht="25.5" customHeight="1">
      <c r="A95" s="4" t="s">
        <v>346</v>
      </c>
      <c r="B95" s="5">
        <v>45328</v>
      </c>
      <c r="C95" s="4">
        <v>112</v>
      </c>
      <c r="D95" s="4">
        <v>1412</v>
      </c>
      <c r="E95" s="4">
        <v>3</v>
      </c>
      <c r="F95" s="4" t="s">
        <v>347</v>
      </c>
      <c r="G95" s="4">
        <v>1989</v>
      </c>
      <c r="H95" s="4" t="s">
        <v>91</v>
      </c>
      <c r="I95" s="4" t="s">
        <v>296</v>
      </c>
      <c r="J95" s="4">
        <v>1992</v>
      </c>
      <c r="K95" s="4" t="s">
        <v>89</v>
      </c>
      <c r="L95" s="4" t="s">
        <v>11</v>
      </c>
      <c r="M95" s="4" t="str">
        <f>IFERROR(INDEX(고장심각도분류!$A$2:$A$8,MATCH(L95,고장심각도분류!$B$2:$B$8,0)),"")</f>
        <v>FC00</v>
      </c>
      <c r="N95" s="4">
        <f>IFERROR(INDEX(고장심각도분류!$C$2:$C$8,MATCH(L95,고장심각도분류!$B$2:$B$8,0)),"")</f>
        <v>1</v>
      </c>
      <c r="O95" s="4">
        <f>IFERROR(INDEX(고장심각도분류!$D$2:$D$8,MATCH(L95,고장심각도분류!$B$2:$B$8,0)),"")</f>
        <v>0</v>
      </c>
      <c r="P95" s="4" t="str">
        <f t="shared" si="4"/>
        <v>N</v>
      </c>
      <c r="Q95" s="4" t="s">
        <v>348</v>
      </c>
      <c r="R95" s="4"/>
      <c r="S95" s="4"/>
      <c r="T95" s="4" t="str">
        <f t="shared" si="5"/>
        <v>확인필요</v>
      </c>
    </row>
    <row r="96" spans="1:20" s="6" customFormat="1" ht="25.5" customHeight="1">
      <c r="A96" s="4" t="s">
        <v>349</v>
      </c>
      <c r="B96" s="5">
        <v>45328</v>
      </c>
      <c r="C96" s="4">
        <v>112</v>
      </c>
      <c r="D96" s="4">
        <v>1412</v>
      </c>
      <c r="E96" s="4">
        <v>4</v>
      </c>
      <c r="F96" s="4" t="s">
        <v>350</v>
      </c>
      <c r="G96" s="4">
        <v>1974</v>
      </c>
      <c r="H96" s="4" t="s">
        <v>95</v>
      </c>
      <c r="I96" s="4" t="s">
        <v>293</v>
      </c>
      <c r="J96" s="4">
        <v>1996</v>
      </c>
      <c r="K96" s="4" t="s">
        <v>89</v>
      </c>
      <c r="L96" s="4" t="s">
        <v>11</v>
      </c>
      <c r="M96" s="4" t="str">
        <f>IFERROR(INDEX(고장심각도분류!$A$2:$A$8,MATCH(L96,고장심각도분류!$B$2:$B$8,0)),"")</f>
        <v>FC00</v>
      </c>
      <c r="N96" s="4">
        <f>IFERROR(INDEX(고장심각도분류!$C$2:$C$8,MATCH(L96,고장심각도분류!$B$2:$B$8,0)),"")</f>
        <v>1</v>
      </c>
      <c r="O96" s="4">
        <f>IFERROR(INDEX(고장심각도분류!$D$2:$D$8,MATCH(L96,고장심각도분류!$B$2:$B$8,0)),"")</f>
        <v>0</v>
      </c>
      <c r="P96" s="4" t="str">
        <f t="shared" si="4"/>
        <v>N</v>
      </c>
      <c r="Q96" s="4" t="s">
        <v>348</v>
      </c>
      <c r="R96" s="4"/>
      <c r="S96" s="4"/>
      <c r="T96" s="4" t="str">
        <f t="shared" si="5"/>
        <v>확인필요</v>
      </c>
    </row>
    <row r="97" spans="1:20" s="6" customFormat="1" ht="25.5" customHeight="1">
      <c r="A97" s="4" t="s">
        <v>351</v>
      </c>
      <c r="B97" s="5">
        <v>45406</v>
      </c>
      <c r="C97" s="4">
        <v>116</v>
      </c>
      <c r="D97" s="4">
        <v>1216</v>
      </c>
      <c r="E97" s="4">
        <v>2</v>
      </c>
      <c r="F97" s="4" t="s">
        <v>101</v>
      </c>
      <c r="G97" s="4">
        <v>1974</v>
      </c>
      <c r="H97" s="4" t="s">
        <v>95</v>
      </c>
      <c r="I97" s="4" t="s">
        <v>325</v>
      </c>
      <c r="J97" s="4">
        <v>1988</v>
      </c>
      <c r="K97" s="4" t="s">
        <v>89</v>
      </c>
      <c r="L97" s="4" t="s">
        <v>11</v>
      </c>
      <c r="M97" s="4" t="str">
        <f>IFERROR(INDEX(고장심각도분류!$A$2:$A$8,MATCH(L97,고장심각도분류!$B$2:$B$8,0)),"")</f>
        <v>FC00</v>
      </c>
      <c r="N97" s="4">
        <f>IFERROR(INDEX(고장심각도분류!$C$2:$C$8,MATCH(L97,고장심각도분류!$B$2:$B$8,0)),"")</f>
        <v>1</v>
      </c>
      <c r="O97" s="4">
        <f>IFERROR(INDEX(고장심각도분류!$D$2:$D$8,MATCH(L97,고장심각도분류!$B$2:$B$8,0)),"")</f>
        <v>0</v>
      </c>
      <c r="P97" s="4" t="str">
        <f t="shared" si="4"/>
        <v>N</v>
      </c>
      <c r="Q97" s="4" t="s">
        <v>348</v>
      </c>
      <c r="R97" s="4"/>
      <c r="S97" s="4"/>
      <c r="T97" s="4" t="str">
        <f t="shared" si="5"/>
        <v>확인필요</v>
      </c>
    </row>
    <row r="98" spans="1:20" s="6" customFormat="1" ht="25.5" customHeight="1">
      <c r="A98" s="4" t="s">
        <v>352</v>
      </c>
      <c r="B98" s="5">
        <v>45435</v>
      </c>
      <c r="C98" s="4">
        <v>113</v>
      </c>
      <c r="D98" s="4">
        <v>1813</v>
      </c>
      <c r="E98" s="4">
        <v>1</v>
      </c>
      <c r="F98" s="4">
        <v>65412</v>
      </c>
      <c r="G98" s="4">
        <v>1977</v>
      </c>
      <c r="H98" s="4" t="s">
        <v>141</v>
      </c>
      <c r="I98" s="4" t="s">
        <v>353</v>
      </c>
      <c r="J98" s="4">
        <v>1974</v>
      </c>
      <c r="K98" s="4" t="s">
        <v>354</v>
      </c>
      <c r="L98" s="4" t="s">
        <v>11</v>
      </c>
      <c r="M98" s="4" t="str">
        <f>IFERROR(INDEX(고장심각도분류!$A$2:$A$8,MATCH(L98,고장심각도분류!$B$2:$B$8,0)),"")</f>
        <v>FC00</v>
      </c>
      <c r="N98" s="4">
        <f>IFERROR(INDEX(고장심각도분류!$C$2:$C$8,MATCH(L98,고장심각도분류!$B$2:$B$8,0)),"")</f>
        <v>1</v>
      </c>
      <c r="O98" s="4">
        <f>IFERROR(INDEX(고장심각도분류!$D$2:$D$8,MATCH(L98,고장심각도분류!$B$2:$B$8,0)),"")</f>
        <v>0</v>
      </c>
      <c r="P98" s="4" t="str">
        <f t="shared" ref="P98:P129" si="6">IF(O98&gt;0,"Y","N")</f>
        <v>N</v>
      </c>
      <c r="Q98" s="4" t="s">
        <v>355</v>
      </c>
      <c r="R98" s="4"/>
      <c r="S98" s="4"/>
      <c r="T98" s="4" t="str">
        <f t="shared" ref="T98:T129" si="7">IF(OR(B98="",C98="",E98="",F98="",I98="",L98="",R98=""),"확인필요","OK")</f>
        <v>확인필요</v>
      </c>
    </row>
    <row r="99" spans="1:20" s="6" customFormat="1" ht="25.5" customHeight="1">
      <c r="A99" s="4" t="s">
        <v>356</v>
      </c>
      <c r="B99" s="5">
        <v>45435</v>
      </c>
      <c r="C99" s="4">
        <v>113</v>
      </c>
      <c r="D99" s="4">
        <v>1813</v>
      </c>
      <c r="E99" s="4">
        <v>2</v>
      </c>
      <c r="F99" s="4" t="s">
        <v>357</v>
      </c>
      <c r="G99" s="4">
        <v>1989</v>
      </c>
      <c r="H99" s="4" t="s">
        <v>91</v>
      </c>
      <c r="I99" s="4" t="s">
        <v>358</v>
      </c>
      <c r="J99" s="4">
        <v>1973</v>
      </c>
      <c r="K99" s="4" t="s">
        <v>354</v>
      </c>
      <c r="L99" s="4" t="s">
        <v>11</v>
      </c>
      <c r="M99" s="4" t="str">
        <f>IFERROR(INDEX(고장심각도분류!$A$2:$A$8,MATCH(L99,고장심각도분류!$B$2:$B$8,0)),"")</f>
        <v>FC00</v>
      </c>
      <c r="N99" s="4">
        <f>IFERROR(INDEX(고장심각도분류!$C$2:$C$8,MATCH(L99,고장심각도분류!$B$2:$B$8,0)),"")</f>
        <v>1</v>
      </c>
      <c r="O99" s="4">
        <f>IFERROR(INDEX(고장심각도분류!$D$2:$D$8,MATCH(L99,고장심각도분류!$B$2:$B$8,0)),"")</f>
        <v>0</v>
      </c>
      <c r="P99" s="4" t="str">
        <f t="shared" si="6"/>
        <v>N</v>
      </c>
      <c r="Q99" s="4" t="s">
        <v>355</v>
      </c>
      <c r="R99" s="4"/>
      <c r="S99" s="4"/>
      <c r="T99" s="4" t="str">
        <f t="shared" si="7"/>
        <v>확인필요</v>
      </c>
    </row>
    <row r="100" spans="1:20" s="6" customFormat="1" ht="25.5" customHeight="1">
      <c r="A100" s="4" t="s">
        <v>359</v>
      </c>
      <c r="B100" s="5">
        <v>45435</v>
      </c>
      <c r="C100" s="4">
        <v>113</v>
      </c>
      <c r="D100" s="4">
        <v>1813</v>
      </c>
      <c r="E100" s="4">
        <v>3</v>
      </c>
      <c r="F100" s="4" t="s">
        <v>88</v>
      </c>
      <c r="G100" s="4">
        <v>1988</v>
      </c>
      <c r="H100" s="4" t="s">
        <v>89</v>
      </c>
      <c r="I100" s="4" t="s">
        <v>360</v>
      </c>
      <c r="J100" s="4">
        <v>1974</v>
      </c>
      <c r="K100" s="4" t="s">
        <v>354</v>
      </c>
      <c r="L100" s="4" t="s">
        <v>11</v>
      </c>
      <c r="M100" s="4" t="str">
        <f>IFERROR(INDEX(고장심각도분류!$A$2:$A$8,MATCH(L100,고장심각도분류!$B$2:$B$8,0)),"")</f>
        <v>FC00</v>
      </c>
      <c r="N100" s="4">
        <f>IFERROR(INDEX(고장심각도분류!$C$2:$C$8,MATCH(L100,고장심각도분류!$B$2:$B$8,0)),"")</f>
        <v>1</v>
      </c>
      <c r="O100" s="4">
        <f>IFERROR(INDEX(고장심각도분류!$D$2:$D$8,MATCH(L100,고장심각도분류!$B$2:$B$8,0)),"")</f>
        <v>0</v>
      </c>
      <c r="P100" s="4" t="str">
        <f t="shared" si="6"/>
        <v>N</v>
      </c>
      <c r="Q100" s="4" t="s">
        <v>355</v>
      </c>
      <c r="R100" s="4"/>
      <c r="S100" s="4"/>
      <c r="T100" s="4" t="str">
        <f t="shared" si="7"/>
        <v>확인필요</v>
      </c>
    </row>
    <row r="101" spans="1:20" s="6" customFormat="1" ht="25.5" customHeight="1">
      <c r="A101" s="4" t="s">
        <v>361</v>
      </c>
      <c r="B101" s="5">
        <v>45435</v>
      </c>
      <c r="C101" s="4">
        <v>113</v>
      </c>
      <c r="D101" s="4">
        <v>1813</v>
      </c>
      <c r="E101" s="4">
        <v>4</v>
      </c>
      <c r="F101" s="4" t="s">
        <v>134</v>
      </c>
      <c r="G101" s="4">
        <v>1974</v>
      </c>
      <c r="H101" s="4" t="s">
        <v>95</v>
      </c>
      <c r="I101" s="4" t="s">
        <v>362</v>
      </c>
      <c r="J101" s="4">
        <v>1973</v>
      </c>
      <c r="K101" s="4" t="s">
        <v>354</v>
      </c>
      <c r="L101" s="4" t="s">
        <v>11</v>
      </c>
      <c r="M101" s="4" t="str">
        <f>IFERROR(INDEX(고장심각도분류!$A$2:$A$8,MATCH(L101,고장심각도분류!$B$2:$B$8,0)),"")</f>
        <v>FC00</v>
      </c>
      <c r="N101" s="4">
        <f>IFERROR(INDEX(고장심각도분류!$C$2:$C$8,MATCH(L101,고장심각도분류!$B$2:$B$8,0)),"")</f>
        <v>1</v>
      </c>
      <c r="O101" s="4">
        <f>IFERROR(INDEX(고장심각도분류!$D$2:$D$8,MATCH(L101,고장심각도분류!$B$2:$B$8,0)),"")</f>
        <v>0</v>
      </c>
      <c r="P101" s="4" t="str">
        <f t="shared" si="6"/>
        <v>N</v>
      </c>
      <c r="Q101" s="4" t="s">
        <v>355</v>
      </c>
      <c r="R101" s="4"/>
      <c r="S101" s="4"/>
      <c r="T101" s="4" t="str">
        <f t="shared" si="7"/>
        <v>확인필요</v>
      </c>
    </row>
    <row r="102" spans="1:20" s="6" customFormat="1" ht="25.5" customHeight="1">
      <c r="A102" s="4" t="s">
        <v>363</v>
      </c>
      <c r="B102" s="5">
        <v>45442</v>
      </c>
      <c r="C102" s="4">
        <v>111</v>
      </c>
      <c r="D102" s="4">
        <v>1811</v>
      </c>
      <c r="E102" s="4">
        <v>1</v>
      </c>
      <c r="F102" s="4" t="s">
        <v>143</v>
      </c>
      <c r="G102" s="4">
        <v>1974</v>
      </c>
      <c r="H102" s="4" t="s">
        <v>95</v>
      </c>
      <c r="I102" s="4" t="s">
        <v>291</v>
      </c>
      <c r="J102" s="4">
        <v>1974</v>
      </c>
      <c r="K102" s="4" t="s">
        <v>364</v>
      </c>
      <c r="L102" s="4" t="s">
        <v>51</v>
      </c>
      <c r="M102" s="4" t="str">
        <f>IFERROR(INDEX(고장심각도분류!$A$2:$A$8,MATCH(L102,고장심각도분류!$B$2:$B$8,0)),"")</f>
        <v>FC05</v>
      </c>
      <c r="N102" s="4">
        <f>IFERROR(INDEX(고장심각도분류!$C$2:$C$8,MATCH(L102,고장심각도분류!$B$2:$B$8,0)),"")</f>
        <v>7</v>
      </c>
      <c r="O102" s="4">
        <f>IFERROR(INDEX(고장심각도분류!$D$2:$D$8,MATCH(L102,고장심각도분류!$B$2:$B$8,0)),"")</f>
        <v>100</v>
      </c>
      <c r="P102" s="4" t="str">
        <f t="shared" si="6"/>
        <v>Y</v>
      </c>
      <c r="Q102" s="4" t="s">
        <v>164</v>
      </c>
      <c r="R102" s="4"/>
      <c r="S102" s="4"/>
      <c r="T102" s="4" t="str">
        <f t="shared" si="7"/>
        <v>확인필요</v>
      </c>
    </row>
    <row r="103" spans="1:20" s="6" customFormat="1" ht="25.5" customHeight="1">
      <c r="A103" s="4" t="s">
        <v>365</v>
      </c>
      <c r="B103" s="5">
        <v>45471</v>
      </c>
      <c r="C103" s="4">
        <v>112</v>
      </c>
      <c r="D103" s="4">
        <v>1512</v>
      </c>
      <c r="E103" s="4">
        <v>1</v>
      </c>
      <c r="F103" s="4" t="s">
        <v>366</v>
      </c>
      <c r="G103" s="4">
        <v>1989</v>
      </c>
      <c r="H103" s="4" t="s">
        <v>91</v>
      </c>
      <c r="I103" s="4" t="s">
        <v>219</v>
      </c>
      <c r="J103" s="4">
        <v>1992</v>
      </c>
      <c r="K103" s="4" t="s">
        <v>89</v>
      </c>
      <c r="L103" s="4" t="s">
        <v>51</v>
      </c>
      <c r="M103" s="4" t="str">
        <f>IFERROR(INDEX(고장심각도분류!$A$2:$A$8,MATCH(L103,고장심각도분류!$B$2:$B$8,0)),"")</f>
        <v>FC05</v>
      </c>
      <c r="N103" s="4">
        <f>IFERROR(INDEX(고장심각도분류!$C$2:$C$8,MATCH(L103,고장심각도분류!$B$2:$B$8,0)),"")</f>
        <v>7</v>
      </c>
      <c r="O103" s="4">
        <f>IFERROR(INDEX(고장심각도분류!$D$2:$D$8,MATCH(L103,고장심각도분류!$B$2:$B$8,0)),"")</f>
        <v>100</v>
      </c>
      <c r="P103" s="4" t="str">
        <f t="shared" si="6"/>
        <v>Y</v>
      </c>
      <c r="Q103" s="4" t="s">
        <v>164</v>
      </c>
      <c r="R103" s="4"/>
      <c r="S103" s="4"/>
      <c r="T103" s="4" t="str">
        <f t="shared" si="7"/>
        <v>확인필요</v>
      </c>
    </row>
    <row r="104" spans="1:20" s="6" customFormat="1" ht="25.5" customHeight="1">
      <c r="A104" s="4" t="s">
        <v>367</v>
      </c>
      <c r="B104" s="5">
        <v>45471</v>
      </c>
      <c r="C104" s="4">
        <v>112</v>
      </c>
      <c r="D104" s="4">
        <v>1512</v>
      </c>
      <c r="E104" s="4">
        <v>3</v>
      </c>
      <c r="F104" s="4" t="s">
        <v>368</v>
      </c>
      <c r="G104" s="4">
        <v>1974</v>
      </c>
      <c r="H104" s="4" t="s">
        <v>95</v>
      </c>
      <c r="I104" s="4" t="s">
        <v>287</v>
      </c>
      <c r="J104" s="4">
        <v>1974</v>
      </c>
      <c r="K104" s="4" t="s">
        <v>354</v>
      </c>
      <c r="L104" s="4" t="s">
        <v>51</v>
      </c>
      <c r="M104" s="4" t="str">
        <f>IFERROR(INDEX(고장심각도분류!$A$2:$A$8,MATCH(L104,고장심각도분류!$B$2:$B$8,0)),"")</f>
        <v>FC05</v>
      </c>
      <c r="N104" s="4">
        <f>IFERROR(INDEX(고장심각도분류!$C$2:$C$8,MATCH(L104,고장심각도분류!$B$2:$B$8,0)),"")</f>
        <v>7</v>
      </c>
      <c r="O104" s="4">
        <f>IFERROR(INDEX(고장심각도분류!$D$2:$D$8,MATCH(L104,고장심각도분류!$B$2:$B$8,0)),"")</f>
        <v>100</v>
      </c>
      <c r="P104" s="4" t="str">
        <f t="shared" si="6"/>
        <v>Y</v>
      </c>
      <c r="Q104" s="4" t="s">
        <v>164</v>
      </c>
      <c r="R104" s="4"/>
      <c r="S104" s="4"/>
      <c r="T104" s="4" t="str">
        <f t="shared" si="7"/>
        <v>확인필요</v>
      </c>
    </row>
    <row r="105" spans="1:20" s="6" customFormat="1" ht="25.5" customHeight="1">
      <c r="A105" s="4" t="s">
        <v>369</v>
      </c>
      <c r="B105" s="5">
        <v>45471</v>
      </c>
      <c r="C105" s="4">
        <v>112</v>
      </c>
      <c r="D105" s="4">
        <v>1512</v>
      </c>
      <c r="E105" s="4">
        <v>4</v>
      </c>
      <c r="F105" s="4" t="s">
        <v>370</v>
      </c>
      <c r="G105" s="4">
        <v>1974</v>
      </c>
      <c r="H105" s="4" t="s">
        <v>95</v>
      </c>
      <c r="I105" s="4" t="s">
        <v>136</v>
      </c>
      <c r="J105" s="4">
        <v>1989</v>
      </c>
      <c r="K105" s="4" t="s">
        <v>91</v>
      </c>
      <c r="L105" s="4" t="s">
        <v>51</v>
      </c>
      <c r="M105" s="4" t="str">
        <f>IFERROR(INDEX(고장심각도분류!$A$2:$A$8,MATCH(L105,고장심각도분류!$B$2:$B$8,0)),"")</f>
        <v>FC05</v>
      </c>
      <c r="N105" s="4">
        <f>IFERROR(INDEX(고장심각도분류!$C$2:$C$8,MATCH(L105,고장심각도분류!$B$2:$B$8,0)),"")</f>
        <v>7</v>
      </c>
      <c r="O105" s="4">
        <f>IFERROR(INDEX(고장심각도분류!$D$2:$D$8,MATCH(L105,고장심각도분류!$B$2:$B$8,0)),"")</f>
        <v>100</v>
      </c>
      <c r="P105" s="4" t="str">
        <f t="shared" si="6"/>
        <v>Y</v>
      </c>
      <c r="Q105" s="4" t="s">
        <v>164</v>
      </c>
      <c r="R105" s="4"/>
      <c r="S105" s="4"/>
      <c r="T105" s="4" t="str">
        <f t="shared" si="7"/>
        <v>확인필요</v>
      </c>
    </row>
    <row r="106" spans="1:20" s="6" customFormat="1" ht="25.5" customHeight="1">
      <c r="A106" s="4" t="s">
        <v>371</v>
      </c>
      <c r="B106" s="5">
        <v>45472</v>
      </c>
      <c r="C106" s="4">
        <v>116</v>
      </c>
      <c r="D106" s="4">
        <v>1216</v>
      </c>
      <c r="E106" s="4">
        <v>3</v>
      </c>
      <c r="F106" s="4" t="s">
        <v>372</v>
      </c>
      <c r="G106" s="4">
        <v>1988</v>
      </c>
      <c r="H106" s="4" t="s">
        <v>89</v>
      </c>
      <c r="I106" s="4" t="s">
        <v>373</v>
      </c>
      <c r="J106" s="4">
        <v>1974</v>
      </c>
      <c r="K106" s="4" t="s">
        <v>354</v>
      </c>
      <c r="L106" s="4" t="s">
        <v>51</v>
      </c>
      <c r="M106" s="4" t="str">
        <f>IFERROR(INDEX(고장심각도분류!$A$2:$A$8,MATCH(L106,고장심각도분류!$B$2:$B$8,0)),"")</f>
        <v>FC05</v>
      </c>
      <c r="N106" s="4">
        <f>IFERROR(INDEX(고장심각도분류!$C$2:$C$8,MATCH(L106,고장심각도분류!$B$2:$B$8,0)),"")</f>
        <v>7</v>
      </c>
      <c r="O106" s="4">
        <f>IFERROR(INDEX(고장심각도분류!$D$2:$D$8,MATCH(L106,고장심각도분류!$B$2:$B$8,0)),"")</f>
        <v>100</v>
      </c>
      <c r="P106" s="4" t="str">
        <f t="shared" si="6"/>
        <v>Y</v>
      </c>
      <c r="Q106" s="4" t="s">
        <v>164</v>
      </c>
      <c r="R106" s="4"/>
      <c r="S106" s="4"/>
      <c r="T106" s="4" t="str">
        <f t="shared" si="7"/>
        <v>확인필요</v>
      </c>
    </row>
    <row r="107" spans="1:20" s="6" customFormat="1" ht="25.5" customHeight="1">
      <c r="A107" s="4" t="s">
        <v>374</v>
      </c>
      <c r="B107" s="5">
        <v>45490</v>
      </c>
      <c r="C107" s="4">
        <v>114</v>
      </c>
      <c r="D107" s="4">
        <v>1414</v>
      </c>
      <c r="E107" s="4">
        <v>4</v>
      </c>
      <c r="F107" s="4" t="s">
        <v>375</v>
      </c>
      <c r="G107" s="4">
        <v>1977</v>
      </c>
      <c r="H107" s="4" t="s">
        <v>95</v>
      </c>
      <c r="I107" s="4" t="s">
        <v>376</v>
      </c>
      <c r="J107" s="4">
        <v>1974</v>
      </c>
      <c r="K107" s="4" t="s">
        <v>354</v>
      </c>
      <c r="L107" s="4" t="s">
        <v>51</v>
      </c>
      <c r="M107" s="4" t="str">
        <f>IFERROR(INDEX(고장심각도분류!$A$2:$A$8,MATCH(L107,고장심각도분류!$B$2:$B$8,0)),"")</f>
        <v>FC05</v>
      </c>
      <c r="N107" s="4">
        <f>IFERROR(INDEX(고장심각도분류!$C$2:$C$8,MATCH(L107,고장심각도분류!$B$2:$B$8,0)),"")</f>
        <v>7</v>
      </c>
      <c r="O107" s="4">
        <f>IFERROR(INDEX(고장심각도분류!$D$2:$D$8,MATCH(L107,고장심각도분류!$B$2:$B$8,0)),"")</f>
        <v>100</v>
      </c>
      <c r="P107" s="4" t="str">
        <f t="shared" si="6"/>
        <v>Y</v>
      </c>
      <c r="Q107" s="4" t="s">
        <v>164</v>
      </c>
      <c r="R107" s="4"/>
      <c r="S107" s="4"/>
      <c r="T107" s="4" t="str">
        <f t="shared" si="7"/>
        <v>확인필요</v>
      </c>
    </row>
    <row r="108" spans="1:20" s="6" customFormat="1" ht="25.5" customHeight="1">
      <c r="A108" s="4" t="s">
        <v>377</v>
      </c>
      <c r="B108" s="5">
        <v>45653</v>
      </c>
      <c r="C108" s="4">
        <v>114</v>
      </c>
      <c r="D108" s="4">
        <v>1814</v>
      </c>
      <c r="E108" s="4">
        <v>4</v>
      </c>
      <c r="F108" s="4" t="s">
        <v>378</v>
      </c>
      <c r="G108" s="4">
        <v>1974</v>
      </c>
      <c r="H108" s="4" t="s">
        <v>354</v>
      </c>
      <c r="I108" s="4" t="s">
        <v>143</v>
      </c>
      <c r="J108" s="4">
        <v>1974</v>
      </c>
      <c r="K108" s="4" t="s">
        <v>95</v>
      </c>
      <c r="L108" s="4" t="s">
        <v>51</v>
      </c>
      <c r="M108" s="4" t="str">
        <f>IFERROR(INDEX(고장심각도분류!$A$2:$A$8,MATCH(L108,고장심각도분류!$B$2:$B$8,0)),"")</f>
        <v>FC05</v>
      </c>
      <c r="N108" s="4">
        <f>IFERROR(INDEX(고장심각도분류!$C$2:$C$8,MATCH(L108,고장심각도분류!$B$2:$B$8,0)),"")</f>
        <v>7</v>
      </c>
      <c r="O108" s="4">
        <f>IFERROR(INDEX(고장심각도분류!$D$2:$D$8,MATCH(L108,고장심각도분류!$B$2:$B$8,0)),"")</f>
        <v>100</v>
      </c>
      <c r="P108" s="4" t="str">
        <f t="shared" si="6"/>
        <v>Y</v>
      </c>
      <c r="Q108" s="4" t="s">
        <v>164</v>
      </c>
      <c r="R108" s="4"/>
      <c r="S108" s="4"/>
      <c r="T108" s="4" t="str">
        <f t="shared" si="7"/>
        <v>확인필요</v>
      </c>
    </row>
    <row r="109" spans="1:20" s="6" customFormat="1" ht="25.5" customHeight="1">
      <c r="A109" s="4" t="s">
        <v>379</v>
      </c>
      <c r="B109" s="5">
        <v>45672</v>
      </c>
      <c r="C109" s="4">
        <v>112</v>
      </c>
      <c r="D109" s="4">
        <v>1112</v>
      </c>
      <c r="E109" s="4">
        <v>1</v>
      </c>
      <c r="F109" s="4" t="s">
        <v>380</v>
      </c>
      <c r="G109" s="4">
        <v>1989</v>
      </c>
      <c r="H109" s="4" t="s">
        <v>89</v>
      </c>
      <c r="I109" s="4" t="s">
        <v>381</v>
      </c>
      <c r="J109" s="4">
        <v>1992</v>
      </c>
      <c r="K109" s="4" t="s">
        <v>89</v>
      </c>
      <c r="L109" s="4" t="s">
        <v>59</v>
      </c>
      <c r="M109" s="4" t="str">
        <f>IFERROR(INDEX(고장심각도분류!$A$2:$A$8,MATCH(L109,고장심각도분류!$B$2:$B$8,0)),"")</f>
        <v>FC99</v>
      </c>
      <c r="N109" s="4">
        <f>IFERROR(INDEX(고장심각도분류!$C$2:$C$8,MATCH(L109,고장심각도분류!$B$2:$B$8,0)),"")</f>
        <v>2</v>
      </c>
      <c r="O109" s="4">
        <f>IFERROR(INDEX(고장심각도분류!$D$2:$D$8,MATCH(L109,고장심각도분류!$B$2:$B$8,0)),"")</f>
        <v>5</v>
      </c>
      <c r="P109" s="4" t="str">
        <f t="shared" si="6"/>
        <v>Y</v>
      </c>
      <c r="Q109" s="4" t="s">
        <v>382</v>
      </c>
      <c r="R109" s="4"/>
      <c r="S109" s="4"/>
      <c r="T109" s="4" t="str">
        <f t="shared" si="7"/>
        <v>확인필요</v>
      </c>
    </row>
    <row r="110" spans="1:20" s="6" customFormat="1" ht="25.5" customHeight="1">
      <c r="A110" s="4" t="s">
        <v>383</v>
      </c>
      <c r="B110" s="5">
        <v>45679</v>
      </c>
      <c r="C110" s="4">
        <v>112</v>
      </c>
      <c r="D110" s="4">
        <v>1212</v>
      </c>
      <c r="E110" s="4">
        <v>4</v>
      </c>
      <c r="F110" s="4" t="s">
        <v>384</v>
      </c>
      <c r="G110" s="4">
        <v>1974</v>
      </c>
      <c r="H110" s="4" t="s">
        <v>95</v>
      </c>
      <c r="I110" s="4" t="s">
        <v>385</v>
      </c>
      <c r="J110" s="4">
        <v>1974</v>
      </c>
      <c r="K110" s="4" t="s">
        <v>95</v>
      </c>
      <c r="L110" s="4" t="s">
        <v>59</v>
      </c>
      <c r="M110" s="4" t="str">
        <f>IFERROR(INDEX(고장심각도분류!$A$2:$A$8,MATCH(L110,고장심각도분류!$B$2:$B$8,0)),"")</f>
        <v>FC99</v>
      </c>
      <c r="N110" s="4">
        <f>IFERROR(INDEX(고장심각도분류!$C$2:$C$8,MATCH(L110,고장심각도분류!$B$2:$B$8,0)),"")</f>
        <v>2</v>
      </c>
      <c r="O110" s="4">
        <f>IFERROR(INDEX(고장심각도분류!$D$2:$D$8,MATCH(L110,고장심각도분류!$B$2:$B$8,0)),"")</f>
        <v>5</v>
      </c>
      <c r="P110" s="4" t="str">
        <f t="shared" si="6"/>
        <v>Y</v>
      </c>
      <c r="Q110" s="4" t="s">
        <v>382</v>
      </c>
      <c r="R110" s="4"/>
      <c r="S110" s="4"/>
      <c r="T110" s="4" t="str">
        <f t="shared" si="7"/>
        <v>확인필요</v>
      </c>
    </row>
    <row r="111" spans="1:20" s="6" customFormat="1" ht="25.5" customHeight="1">
      <c r="A111" s="4" t="s">
        <v>386</v>
      </c>
      <c r="B111" s="5">
        <v>45709</v>
      </c>
      <c r="C111" s="4">
        <v>112</v>
      </c>
      <c r="D111" s="4">
        <v>1212</v>
      </c>
      <c r="E111" s="4">
        <v>1</v>
      </c>
      <c r="F111" s="4" t="s">
        <v>282</v>
      </c>
      <c r="G111" s="4">
        <v>1989</v>
      </c>
      <c r="H111" s="4" t="s">
        <v>91</v>
      </c>
      <c r="I111" s="4" t="s">
        <v>387</v>
      </c>
      <c r="J111" s="4">
        <v>1994</v>
      </c>
      <c r="K111" s="4" t="s">
        <v>89</v>
      </c>
      <c r="L111" s="4" t="s">
        <v>59</v>
      </c>
      <c r="M111" s="4" t="str">
        <f>IFERROR(INDEX(고장심각도분류!$A$2:$A$8,MATCH(L111,고장심각도분류!$B$2:$B$8,0)),"")</f>
        <v>FC99</v>
      </c>
      <c r="N111" s="4">
        <f>IFERROR(INDEX(고장심각도분류!$C$2:$C$8,MATCH(L111,고장심각도분류!$B$2:$B$8,0)),"")</f>
        <v>2</v>
      </c>
      <c r="O111" s="4">
        <f>IFERROR(INDEX(고장심각도분류!$D$2:$D$8,MATCH(L111,고장심각도분류!$B$2:$B$8,0)),"")</f>
        <v>5</v>
      </c>
      <c r="P111" s="4" t="str">
        <f t="shared" si="6"/>
        <v>Y</v>
      </c>
      <c r="Q111" s="4" t="s">
        <v>382</v>
      </c>
      <c r="R111" s="4"/>
      <c r="S111" s="4"/>
      <c r="T111" s="4" t="str">
        <f t="shared" si="7"/>
        <v>확인필요</v>
      </c>
    </row>
    <row r="112" spans="1:20" s="6" customFormat="1" ht="25.5" customHeight="1">
      <c r="A112" s="4" t="s">
        <v>388</v>
      </c>
      <c r="B112" s="5">
        <v>45709</v>
      </c>
      <c r="C112" s="4">
        <v>112</v>
      </c>
      <c r="D112" s="4">
        <v>1212</v>
      </c>
      <c r="E112" s="4">
        <v>2</v>
      </c>
      <c r="F112" s="4" t="s">
        <v>389</v>
      </c>
      <c r="G112" s="4">
        <v>1989</v>
      </c>
      <c r="H112" s="4" t="s">
        <v>91</v>
      </c>
      <c r="I112" s="4" t="s">
        <v>390</v>
      </c>
      <c r="J112" s="4">
        <v>1974</v>
      </c>
      <c r="K112" s="4" t="s">
        <v>354</v>
      </c>
      <c r="L112" s="4" t="s">
        <v>59</v>
      </c>
      <c r="M112" s="4" t="str">
        <f>IFERROR(INDEX(고장심각도분류!$A$2:$A$8,MATCH(L112,고장심각도분류!$B$2:$B$8,0)),"")</f>
        <v>FC99</v>
      </c>
      <c r="N112" s="4">
        <f>IFERROR(INDEX(고장심각도분류!$C$2:$C$8,MATCH(L112,고장심각도분류!$B$2:$B$8,0)),"")</f>
        <v>2</v>
      </c>
      <c r="O112" s="4">
        <f>IFERROR(INDEX(고장심각도분류!$D$2:$D$8,MATCH(L112,고장심각도분류!$B$2:$B$8,0)),"")</f>
        <v>5</v>
      </c>
      <c r="P112" s="4" t="str">
        <f t="shared" si="6"/>
        <v>Y</v>
      </c>
      <c r="Q112" s="4" t="s">
        <v>382</v>
      </c>
      <c r="R112" s="4"/>
      <c r="S112" s="4"/>
      <c r="T112" s="4" t="str">
        <f t="shared" si="7"/>
        <v>확인필요</v>
      </c>
    </row>
    <row r="113" spans="1:20" s="6" customFormat="1" ht="25.5" customHeight="1">
      <c r="A113" s="4" t="s">
        <v>391</v>
      </c>
      <c r="B113" s="5">
        <v>45709</v>
      </c>
      <c r="C113" s="4">
        <v>112</v>
      </c>
      <c r="D113" s="4">
        <v>1212</v>
      </c>
      <c r="E113" s="4">
        <v>3</v>
      </c>
      <c r="F113" s="4" t="s">
        <v>392</v>
      </c>
      <c r="G113" s="4">
        <v>1988</v>
      </c>
      <c r="H113" s="4" t="s">
        <v>89</v>
      </c>
      <c r="I113" s="4" t="s">
        <v>101</v>
      </c>
      <c r="J113" s="4">
        <v>1974</v>
      </c>
      <c r="K113" s="4" t="s">
        <v>95</v>
      </c>
      <c r="L113" s="4" t="s">
        <v>59</v>
      </c>
      <c r="M113" s="4" t="str">
        <f>IFERROR(INDEX(고장심각도분류!$A$2:$A$8,MATCH(L113,고장심각도분류!$B$2:$B$8,0)),"")</f>
        <v>FC99</v>
      </c>
      <c r="N113" s="4">
        <f>IFERROR(INDEX(고장심각도분류!$C$2:$C$8,MATCH(L113,고장심각도분류!$B$2:$B$8,0)),"")</f>
        <v>2</v>
      </c>
      <c r="O113" s="4">
        <f>IFERROR(INDEX(고장심각도분류!$D$2:$D$8,MATCH(L113,고장심각도분류!$B$2:$B$8,0)),"")</f>
        <v>5</v>
      </c>
      <c r="P113" s="4" t="str">
        <f t="shared" si="6"/>
        <v>Y</v>
      </c>
      <c r="Q113" s="4" t="s">
        <v>382</v>
      </c>
      <c r="R113" s="4"/>
      <c r="S113" s="4"/>
      <c r="T113" s="4" t="str">
        <f t="shared" si="7"/>
        <v>확인필요</v>
      </c>
    </row>
    <row r="114" spans="1:20" s="6" customFormat="1" ht="25.5" customHeight="1">
      <c r="A114" s="4" t="s">
        <v>393</v>
      </c>
      <c r="B114" s="5">
        <v>45709</v>
      </c>
      <c r="C114" s="4">
        <v>112</v>
      </c>
      <c r="D114" s="4">
        <v>1212</v>
      </c>
      <c r="E114" s="4">
        <v>4</v>
      </c>
      <c r="F114" s="4" t="s">
        <v>385</v>
      </c>
      <c r="G114" s="4">
        <v>1974</v>
      </c>
      <c r="H114" s="4" t="s">
        <v>354</v>
      </c>
      <c r="I114" s="4" t="s">
        <v>252</v>
      </c>
      <c r="J114" s="4">
        <v>1977</v>
      </c>
      <c r="K114" s="4" t="s">
        <v>95</v>
      </c>
      <c r="L114" s="4" t="s">
        <v>59</v>
      </c>
      <c r="M114" s="4" t="str">
        <f>IFERROR(INDEX(고장심각도분류!$A$2:$A$8,MATCH(L114,고장심각도분류!$B$2:$B$8,0)),"")</f>
        <v>FC99</v>
      </c>
      <c r="N114" s="4">
        <f>IFERROR(INDEX(고장심각도분류!$C$2:$C$8,MATCH(L114,고장심각도분류!$B$2:$B$8,0)),"")</f>
        <v>2</v>
      </c>
      <c r="O114" s="4">
        <f>IFERROR(INDEX(고장심각도분류!$D$2:$D$8,MATCH(L114,고장심각도분류!$B$2:$B$8,0)),"")</f>
        <v>5</v>
      </c>
      <c r="P114" s="4" t="str">
        <f t="shared" si="6"/>
        <v>Y</v>
      </c>
      <c r="Q114" s="4" t="s">
        <v>382</v>
      </c>
      <c r="R114" s="4"/>
      <c r="S114" s="4"/>
      <c r="T114" s="4" t="str">
        <f t="shared" si="7"/>
        <v>확인필요</v>
      </c>
    </row>
    <row r="115" spans="1:20" s="6" customFormat="1" ht="25.5" customHeight="1">
      <c r="A115" s="4" t="s">
        <v>394</v>
      </c>
      <c r="B115" s="5">
        <v>45721</v>
      </c>
      <c r="C115" s="4">
        <v>111</v>
      </c>
      <c r="D115" s="4">
        <v>1811</v>
      </c>
      <c r="E115" s="4">
        <v>2</v>
      </c>
      <c r="F115" s="4" t="s">
        <v>197</v>
      </c>
      <c r="G115" s="4">
        <v>1988</v>
      </c>
      <c r="H115" s="4" t="s">
        <v>89</v>
      </c>
      <c r="I115" s="4" t="s">
        <v>357</v>
      </c>
      <c r="J115" s="4">
        <v>1988</v>
      </c>
      <c r="K115" s="4" t="s">
        <v>91</v>
      </c>
      <c r="L115" s="4" t="s">
        <v>51</v>
      </c>
      <c r="M115" s="4" t="str">
        <f>IFERROR(INDEX(고장심각도분류!$A$2:$A$8,MATCH(L115,고장심각도분류!$B$2:$B$8,0)),"")</f>
        <v>FC05</v>
      </c>
      <c r="N115" s="4">
        <f>IFERROR(INDEX(고장심각도분류!$C$2:$C$8,MATCH(L115,고장심각도분류!$B$2:$B$8,0)),"")</f>
        <v>7</v>
      </c>
      <c r="O115" s="4">
        <f>IFERROR(INDEX(고장심각도분류!$D$2:$D$8,MATCH(L115,고장심각도분류!$B$2:$B$8,0)),"")</f>
        <v>100</v>
      </c>
      <c r="P115" s="4" t="str">
        <f t="shared" si="6"/>
        <v>Y</v>
      </c>
      <c r="Q115" s="4" t="s">
        <v>164</v>
      </c>
      <c r="R115" s="4"/>
      <c r="S115" s="4"/>
      <c r="T115" s="4" t="str">
        <f t="shared" si="7"/>
        <v>확인필요</v>
      </c>
    </row>
    <row r="116" spans="1:20" s="6" customFormat="1" ht="25.5" customHeight="1">
      <c r="A116" s="4" t="s">
        <v>395</v>
      </c>
      <c r="B116" s="5">
        <v>45721</v>
      </c>
      <c r="C116" s="4">
        <v>116</v>
      </c>
      <c r="D116" s="4">
        <v>1716</v>
      </c>
      <c r="E116" s="4">
        <v>4</v>
      </c>
      <c r="F116" s="4">
        <v>64057</v>
      </c>
      <c r="G116" s="4">
        <v>1977</v>
      </c>
      <c r="H116" s="4" t="s">
        <v>141</v>
      </c>
      <c r="I116" s="4" t="s">
        <v>372</v>
      </c>
      <c r="J116" s="4">
        <v>1988</v>
      </c>
      <c r="K116" s="4" t="s">
        <v>89</v>
      </c>
      <c r="L116" s="4" t="s">
        <v>35</v>
      </c>
      <c r="M116" s="4" t="str">
        <f>IFERROR(INDEX(고장심각도분류!$A$2:$A$8,MATCH(L116,고장심각도분류!$B$2:$B$8,0)),"")</f>
        <v>FC03</v>
      </c>
      <c r="N116" s="4">
        <f>IFERROR(INDEX(고장심각도분류!$C$2:$C$8,MATCH(L116,고장심각도분류!$B$2:$B$8,0)),"")</f>
        <v>5</v>
      </c>
      <c r="O116" s="4">
        <f>IFERROR(INDEX(고장심각도분류!$D$2:$D$8,MATCH(L116,고장심각도분류!$B$2:$B$8,0)),"")</f>
        <v>45</v>
      </c>
      <c r="P116" s="4" t="str">
        <f t="shared" si="6"/>
        <v>Y</v>
      </c>
      <c r="Q116" s="4" t="s">
        <v>230</v>
      </c>
      <c r="R116" s="4"/>
      <c r="S116" s="4"/>
      <c r="T116" s="4" t="str">
        <f t="shared" si="7"/>
        <v>확인필요</v>
      </c>
    </row>
    <row r="117" spans="1:20" s="6" customFormat="1" ht="25.5" customHeight="1">
      <c r="A117" s="4" t="s">
        <v>396</v>
      </c>
      <c r="B117" s="5">
        <v>45786</v>
      </c>
      <c r="C117" s="4">
        <v>116</v>
      </c>
      <c r="D117" s="4">
        <v>1816</v>
      </c>
      <c r="E117" s="4">
        <v>2</v>
      </c>
      <c r="F117" s="4" t="s">
        <v>397</v>
      </c>
      <c r="G117" s="4">
        <v>1992</v>
      </c>
      <c r="H117" s="4" t="s">
        <v>89</v>
      </c>
      <c r="I117" s="4" t="s">
        <v>366</v>
      </c>
      <c r="J117" s="4">
        <v>1989</v>
      </c>
      <c r="K117" s="4" t="s">
        <v>91</v>
      </c>
      <c r="L117" s="4" t="s">
        <v>59</v>
      </c>
      <c r="M117" s="4" t="str">
        <f>IFERROR(INDEX(고장심각도분류!$A$2:$A$8,MATCH(L117,고장심각도분류!$B$2:$B$8,0)),"")</f>
        <v>FC99</v>
      </c>
      <c r="N117" s="4">
        <f>IFERROR(INDEX(고장심각도분류!$C$2:$C$8,MATCH(L117,고장심각도분류!$B$2:$B$8,0)),"")</f>
        <v>2</v>
      </c>
      <c r="O117" s="4">
        <f>IFERROR(INDEX(고장심각도분류!$D$2:$D$8,MATCH(L117,고장심각도분류!$B$2:$B$8,0)),"")</f>
        <v>5</v>
      </c>
      <c r="P117" s="4" t="str">
        <f t="shared" si="6"/>
        <v>Y</v>
      </c>
      <c r="Q117" s="4" t="s">
        <v>398</v>
      </c>
      <c r="R117" s="4"/>
      <c r="S117" s="4"/>
      <c r="T117" s="4" t="str">
        <f t="shared" si="7"/>
        <v>확인필요</v>
      </c>
    </row>
    <row r="118" spans="1:20" s="6" customFormat="1" ht="25.5" customHeight="1">
      <c r="A118" s="4" t="s">
        <v>399</v>
      </c>
      <c r="B118" s="5">
        <v>45790</v>
      </c>
      <c r="C118" s="4">
        <v>116</v>
      </c>
      <c r="D118" s="4">
        <v>1216</v>
      </c>
      <c r="E118" s="4">
        <v>4</v>
      </c>
      <c r="F118" s="4" t="s">
        <v>307</v>
      </c>
      <c r="G118" s="4">
        <v>1991</v>
      </c>
      <c r="H118" s="4" t="s">
        <v>89</v>
      </c>
      <c r="I118" s="4" t="s">
        <v>400</v>
      </c>
      <c r="J118" s="4">
        <v>1989</v>
      </c>
      <c r="K118" s="4" t="s">
        <v>89</v>
      </c>
      <c r="L118" s="4" t="s">
        <v>27</v>
      </c>
      <c r="M118" s="4" t="str">
        <f>IFERROR(INDEX(고장심각도분류!$A$2:$A$8,MATCH(L118,고장심각도분류!$B$2:$B$8,0)),"")</f>
        <v>FC02</v>
      </c>
      <c r="N118" s="4">
        <f>IFERROR(INDEX(고장심각도분류!$C$2:$C$8,MATCH(L118,고장심각도분류!$B$2:$B$8,0)),"")</f>
        <v>4</v>
      </c>
      <c r="O118" s="4">
        <f>IFERROR(INDEX(고장심각도분류!$D$2:$D$8,MATCH(L118,고장심각도분류!$B$2:$B$8,0)),"")</f>
        <v>20</v>
      </c>
      <c r="P118" s="4" t="str">
        <f t="shared" si="6"/>
        <v>Y</v>
      </c>
      <c r="Q118" s="4" t="s">
        <v>401</v>
      </c>
      <c r="R118" s="4"/>
      <c r="S118" s="4"/>
      <c r="T118" s="4" t="str">
        <f t="shared" si="7"/>
        <v>확인필요</v>
      </c>
    </row>
    <row r="119" spans="1:20" s="6" customFormat="1" ht="25.5" customHeight="1">
      <c r="A119" s="4" t="s">
        <v>402</v>
      </c>
      <c r="B119" s="5">
        <v>45825</v>
      </c>
      <c r="C119" s="4">
        <v>116</v>
      </c>
      <c r="D119" s="4">
        <v>1416</v>
      </c>
      <c r="E119" s="4">
        <v>1</v>
      </c>
      <c r="F119" s="4" t="s">
        <v>403</v>
      </c>
      <c r="G119" s="4">
        <v>1994</v>
      </c>
      <c r="H119" s="4" t="s">
        <v>89</v>
      </c>
      <c r="I119" s="4" t="s">
        <v>340</v>
      </c>
      <c r="J119" s="4">
        <v>1988</v>
      </c>
      <c r="K119" s="4" t="s">
        <v>89</v>
      </c>
      <c r="L119" s="4" t="s">
        <v>59</v>
      </c>
      <c r="M119" s="4" t="str">
        <f>IFERROR(INDEX(고장심각도분류!$A$2:$A$8,MATCH(L119,고장심각도분류!$B$2:$B$8,0)),"")</f>
        <v>FC99</v>
      </c>
      <c r="N119" s="4">
        <f>IFERROR(INDEX(고장심각도분류!$C$2:$C$8,MATCH(L119,고장심각도분류!$B$2:$B$8,0)),"")</f>
        <v>2</v>
      </c>
      <c r="O119" s="4">
        <f>IFERROR(INDEX(고장심각도분류!$D$2:$D$8,MATCH(L119,고장심각도분류!$B$2:$B$8,0)),"")</f>
        <v>5</v>
      </c>
      <c r="P119" s="4" t="str">
        <f t="shared" si="6"/>
        <v>Y</v>
      </c>
      <c r="Q119" s="4" t="s">
        <v>404</v>
      </c>
      <c r="R119" s="4"/>
      <c r="S119" s="4"/>
      <c r="T119" s="4" t="str">
        <f t="shared" si="7"/>
        <v>확인필요</v>
      </c>
    </row>
    <row r="120" spans="1:20" s="6" customFormat="1" ht="25.5" customHeight="1">
      <c r="A120" s="4" t="s">
        <v>405</v>
      </c>
      <c r="B120" s="5">
        <v>45876</v>
      </c>
      <c r="C120" s="4">
        <v>111</v>
      </c>
      <c r="D120" s="4">
        <v>1111</v>
      </c>
      <c r="E120" s="4">
        <v>4</v>
      </c>
      <c r="F120" s="4" t="s">
        <v>406</v>
      </c>
      <c r="G120" s="4">
        <v>1998</v>
      </c>
      <c r="H120" s="4" t="s">
        <v>89</v>
      </c>
      <c r="I120" s="4" t="s">
        <v>407</v>
      </c>
      <c r="J120" s="4">
        <v>1992</v>
      </c>
      <c r="K120" s="4" t="s">
        <v>89</v>
      </c>
      <c r="L120" s="4" t="s">
        <v>51</v>
      </c>
      <c r="M120" s="4" t="str">
        <f>IFERROR(INDEX(고장심각도분류!$A$2:$A$8,MATCH(L120,고장심각도분류!$B$2:$B$8,0)),"")</f>
        <v>FC05</v>
      </c>
      <c r="N120" s="4">
        <f>IFERROR(INDEX(고장심각도분류!$C$2:$C$8,MATCH(L120,고장심각도분류!$B$2:$B$8,0)),"")</f>
        <v>7</v>
      </c>
      <c r="O120" s="4">
        <f>IFERROR(INDEX(고장심각도분류!$D$2:$D$8,MATCH(L120,고장심각도분류!$B$2:$B$8,0)),"")</f>
        <v>100</v>
      </c>
      <c r="P120" s="4" t="str">
        <f t="shared" si="6"/>
        <v>Y</v>
      </c>
      <c r="Q120" s="4" t="s">
        <v>116</v>
      </c>
      <c r="R120" s="4"/>
      <c r="S120" s="4"/>
      <c r="T120" s="4" t="str">
        <f t="shared" si="7"/>
        <v>확인필요</v>
      </c>
    </row>
    <row r="121" spans="1:20" s="6" customFormat="1" ht="25.5" customHeight="1">
      <c r="A121" s="4" t="s">
        <v>408</v>
      </c>
      <c r="B121" s="5">
        <v>45978</v>
      </c>
      <c r="C121" s="4">
        <v>116</v>
      </c>
      <c r="D121" s="4">
        <v>1216</v>
      </c>
      <c r="E121" s="4">
        <v>1</v>
      </c>
      <c r="F121" s="4" t="s">
        <v>175</v>
      </c>
      <c r="G121" s="4">
        <v>1996</v>
      </c>
      <c r="H121" s="4" t="s">
        <v>89</v>
      </c>
      <c r="I121" s="4">
        <v>64057</v>
      </c>
      <c r="J121" s="4">
        <v>1977</v>
      </c>
      <c r="K121" s="4" t="s">
        <v>141</v>
      </c>
      <c r="L121" s="4" t="s">
        <v>11</v>
      </c>
      <c r="M121" s="4" t="str">
        <f>IFERROR(INDEX(고장심각도분류!$A$2:$A$8,MATCH(L121,고장심각도분류!$B$2:$B$8,0)),"")</f>
        <v>FC00</v>
      </c>
      <c r="N121" s="4">
        <f>IFERROR(INDEX(고장심각도분류!$C$2:$C$8,MATCH(L121,고장심각도분류!$B$2:$B$8,0)),"")</f>
        <v>1</v>
      </c>
      <c r="O121" s="4">
        <f>IFERROR(INDEX(고장심각도분류!$D$2:$D$8,MATCH(L121,고장심각도분류!$B$2:$B$8,0)),"")</f>
        <v>0</v>
      </c>
      <c r="P121" s="4" t="str">
        <f t="shared" si="6"/>
        <v>N</v>
      </c>
      <c r="Q121" s="4" t="s">
        <v>355</v>
      </c>
      <c r="R121" s="4"/>
      <c r="S121" s="4"/>
      <c r="T121" s="4" t="str">
        <f t="shared" si="7"/>
        <v>확인필요</v>
      </c>
    </row>
    <row r="122" spans="1:20" s="6" customFormat="1" ht="25.5" customHeight="1">
      <c r="A122" s="4" t="s">
        <v>409</v>
      </c>
      <c r="B122" s="5">
        <v>45978</v>
      </c>
      <c r="C122" s="4">
        <v>116</v>
      </c>
      <c r="D122" s="4">
        <v>1216</v>
      </c>
      <c r="E122" s="4">
        <v>2</v>
      </c>
      <c r="F122" s="4" t="s">
        <v>325</v>
      </c>
      <c r="G122" s="4">
        <v>1988</v>
      </c>
      <c r="H122" s="4" t="s">
        <v>89</v>
      </c>
      <c r="I122" s="4" t="s">
        <v>384</v>
      </c>
      <c r="J122" s="4">
        <v>1974</v>
      </c>
      <c r="K122" s="4" t="s">
        <v>95</v>
      </c>
      <c r="L122" s="4" t="s">
        <v>11</v>
      </c>
      <c r="M122" s="4" t="str">
        <f>IFERROR(INDEX(고장심각도분류!$A$2:$A$8,MATCH(L122,고장심각도분류!$B$2:$B$8,0)),"")</f>
        <v>FC00</v>
      </c>
      <c r="N122" s="4">
        <f>IFERROR(INDEX(고장심각도분류!$C$2:$C$8,MATCH(L122,고장심각도분류!$B$2:$B$8,0)),"")</f>
        <v>1</v>
      </c>
      <c r="O122" s="4">
        <f>IFERROR(INDEX(고장심각도분류!$D$2:$D$8,MATCH(L122,고장심각도분류!$B$2:$B$8,0)),"")</f>
        <v>0</v>
      </c>
      <c r="P122" s="4" t="str">
        <f t="shared" si="6"/>
        <v>N</v>
      </c>
      <c r="Q122" s="4" t="s">
        <v>355</v>
      </c>
      <c r="R122" s="4"/>
      <c r="S122" s="4"/>
      <c r="T122" s="4" t="str">
        <f t="shared" si="7"/>
        <v>확인필요</v>
      </c>
    </row>
    <row r="123" spans="1:20" s="6" customFormat="1" ht="25.5" customHeight="1">
      <c r="A123" s="4" t="s">
        <v>410</v>
      </c>
      <c r="B123" s="5">
        <v>45978</v>
      </c>
      <c r="C123" s="4">
        <v>116</v>
      </c>
      <c r="D123" s="4">
        <v>1516</v>
      </c>
      <c r="E123" s="4">
        <v>1</v>
      </c>
      <c r="F123" s="4" t="s">
        <v>411</v>
      </c>
      <c r="G123" s="4">
        <v>1987</v>
      </c>
      <c r="H123" s="4" t="s">
        <v>89</v>
      </c>
      <c r="I123" s="4" t="s">
        <v>380</v>
      </c>
      <c r="J123" s="4">
        <v>1989</v>
      </c>
      <c r="K123" s="4" t="s">
        <v>89</v>
      </c>
      <c r="L123" s="4" t="s">
        <v>11</v>
      </c>
      <c r="M123" s="4" t="str">
        <f>IFERROR(INDEX(고장심각도분류!$A$2:$A$8,MATCH(L123,고장심각도분류!$B$2:$B$8,0)),"")</f>
        <v>FC00</v>
      </c>
      <c r="N123" s="4">
        <f>IFERROR(INDEX(고장심각도분류!$C$2:$C$8,MATCH(L123,고장심각도분류!$B$2:$B$8,0)),"")</f>
        <v>1</v>
      </c>
      <c r="O123" s="4">
        <f>IFERROR(INDEX(고장심각도분류!$D$2:$D$8,MATCH(L123,고장심각도분류!$B$2:$B$8,0)),"")</f>
        <v>0</v>
      </c>
      <c r="P123" s="4" t="str">
        <f t="shared" si="6"/>
        <v>N</v>
      </c>
      <c r="Q123" s="4" t="s">
        <v>355</v>
      </c>
      <c r="R123" s="4"/>
      <c r="S123" s="4"/>
      <c r="T123" s="4" t="str">
        <f t="shared" si="7"/>
        <v>확인필요</v>
      </c>
    </row>
    <row r="124" spans="1:20" s="6" customFormat="1" ht="25.5" customHeight="1">
      <c r="A124" s="4" t="s">
        <v>412</v>
      </c>
      <c r="B124" s="5">
        <v>45978</v>
      </c>
      <c r="C124" s="4">
        <v>116</v>
      </c>
      <c r="D124" s="4">
        <v>1716</v>
      </c>
      <c r="E124" s="4">
        <v>2</v>
      </c>
      <c r="F124" s="4" t="s">
        <v>131</v>
      </c>
      <c r="G124" s="4">
        <v>1989</v>
      </c>
      <c r="H124" s="4" t="s">
        <v>91</v>
      </c>
      <c r="I124" s="4" t="s">
        <v>378</v>
      </c>
      <c r="J124" s="4">
        <v>1973</v>
      </c>
      <c r="K124" s="4" t="s">
        <v>95</v>
      </c>
      <c r="L124" s="4" t="s">
        <v>11</v>
      </c>
      <c r="M124" s="4" t="str">
        <f>IFERROR(INDEX(고장심각도분류!$A$2:$A$8,MATCH(L124,고장심각도분류!$B$2:$B$8,0)),"")</f>
        <v>FC00</v>
      </c>
      <c r="N124" s="4">
        <f>IFERROR(INDEX(고장심각도분류!$C$2:$C$8,MATCH(L124,고장심각도분류!$B$2:$B$8,0)),"")</f>
        <v>1</v>
      </c>
      <c r="O124" s="4">
        <f>IFERROR(INDEX(고장심각도분류!$D$2:$D$8,MATCH(L124,고장심각도분류!$B$2:$B$8,0)),"")</f>
        <v>0</v>
      </c>
      <c r="P124" s="4" t="str">
        <f t="shared" si="6"/>
        <v>N</v>
      </c>
      <c r="Q124" s="4" t="s">
        <v>355</v>
      </c>
      <c r="R124" s="4"/>
      <c r="S124" s="4"/>
      <c r="T124" s="4" t="str">
        <f t="shared" si="7"/>
        <v>확인필요</v>
      </c>
    </row>
    <row r="125" spans="1:20" s="6" customFormat="1" ht="25.5" customHeight="1">
      <c r="A125" s="4" t="s">
        <v>413</v>
      </c>
      <c r="B125" s="5">
        <v>46059</v>
      </c>
      <c r="C125" s="4">
        <v>116</v>
      </c>
      <c r="D125" s="4">
        <v>1416</v>
      </c>
      <c r="E125" s="4">
        <v>3</v>
      </c>
      <c r="F125" s="4" t="s">
        <v>414</v>
      </c>
      <c r="G125" s="4">
        <v>1974</v>
      </c>
      <c r="H125" s="4" t="s">
        <v>95</v>
      </c>
      <c r="I125" s="4" t="s">
        <v>343</v>
      </c>
      <c r="J125" s="4">
        <v>1989</v>
      </c>
      <c r="K125" s="4" t="s">
        <v>91</v>
      </c>
      <c r="L125" s="4" t="s">
        <v>27</v>
      </c>
      <c r="M125" s="4" t="str">
        <f>IFERROR(INDEX(고장심각도분류!$A$2:$A$8,MATCH(L125,고장심각도분류!$B$2:$B$8,0)),"")</f>
        <v>FC02</v>
      </c>
      <c r="N125" s="4">
        <f>IFERROR(INDEX(고장심각도분류!$C$2:$C$8,MATCH(L125,고장심각도분류!$B$2:$B$8,0)),"")</f>
        <v>4</v>
      </c>
      <c r="O125" s="4">
        <f>IFERROR(INDEX(고장심각도분류!$D$2:$D$8,MATCH(L125,고장심각도분류!$B$2:$B$8,0)),"")</f>
        <v>20</v>
      </c>
      <c r="P125" s="4" t="str">
        <f t="shared" si="6"/>
        <v>Y</v>
      </c>
      <c r="Q125" s="4" t="s">
        <v>415</v>
      </c>
      <c r="R125" s="4"/>
      <c r="S125" s="4"/>
      <c r="T125" s="4" t="str">
        <f t="shared" si="7"/>
        <v>확인필요</v>
      </c>
    </row>
    <row r="126" spans="1:20" s="6" customFormat="1" ht="25.5" customHeight="1">
      <c r="A126" s="4" t="s">
        <v>416</v>
      </c>
      <c r="B126" s="5">
        <v>46104</v>
      </c>
      <c r="C126" s="4">
        <v>112</v>
      </c>
      <c r="D126" s="4">
        <v>1812</v>
      </c>
      <c r="E126" s="4">
        <v>1</v>
      </c>
      <c r="F126" s="4" t="s">
        <v>417</v>
      </c>
      <c r="G126" s="4">
        <v>1974</v>
      </c>
      <c r="H126" s="4" t="s">
        <v>95</v>
      </c>
      <c r="I126" s="4" t="s">
        <v>345</v>
      </c>
      <c r="J126" s="4">
        <v>1996</v>
      </c>
      <c r="K126" s="4" t="s">
        <v>89</v>
      </c>
      <c r="L126" s="4" t="s">
        <v>51</v>
      </c>
      <c r="M126" s="4" t="str">
        <f>IFERROR(INDEX(고장심각도분류!$A$2:$A$8,MATCH(L126,고장심각도분류!$B$2:$B$8,0)),"")</f>
        <v>FC05</v>
      </c>
      <c r="N126" s="4">
        <f>IFERROR(INDEX(고장심각도분류!$C$2:$C$8,MATCH(L126,고장심각도분류!$B$2:$B$8,0)),"")</f>
        <v>7</v>
      </c>
      <c r="O126" s="4">
        <f>IFERROR(INDEX(고장심각도분류!$D$2:$D$8,MATCH(L126,고장심각도분류!$B$2:$B$8,0)),"")</f>
        <v>100</v>
      </c>
      <c r="P126" s="4" t="str">
        <f t="shared" si="6"/>
        <v>Y</v>
      </c>
      <c r="Q126" s="4" t="s">
        <v>164</v>
      </c>
      <c r="R126" s="4"/>
      <c r="S126" s="4"/>
      <c r="T126" s="4" t="str">
        <f t="shared" si="7"/>
        <v>확인필요</v>
      </c>
    </row>
    <row r="127" spans="1:20" s="6" customFormat="1" ht="25.5" customHeight="1">
      <c r="A127" s="4" t="s">
        <v>418</v>
      </c>
      <c r="B127" s="5">
        <v>46105</v>
      </c>
      <c r="C127" s="4">
        <v>114</v>
      </c>
      <c r="D127" s="4">
        <v>1114</v>
      </c>
      <c r="E127" s="4">
        <v>1</v>
      </c>
      <c r="F127" s="4" t="s">
        <v>229</v>
      </c>
      <c r="G127" s="4">
        <v>1993</v>
      </c>
      <c r="H127" s="4" t="s">
        <v>95</v>
      </c>
      <c r="I127" s="4" t="s">
        <v>403</v>
      </c>
      <c r="J127" s="4">
        <v>1994</v>
      </c>
      <c r="K127" s="4" t="s">
        <v>89</v>
      </c>
      <c r="L127" s="4" t="s">
        <v>19</v>
      </c>
      <c r="M127" s="4" t="str">
        <f>IFERROR(INDEX(고장심각도분류!$A$2:$A$8,MATCH(L127,고장심각도분류!$B$2:$B$8,0)),"")</f>
        <v>FC01</v>
      </c>
      <c r="N127" s="4">
        <f>IFERROR(INDEX(고장심각도분류!$C$2:$C$8,MATCH(L127,고장심각도분류!$B$2:$B$8,0)),"")</f>
        <v>3</v>
      </c>
      <c r="O127" s="4">
        <f>IFERROR(INDEX(고장심각도분류!$D$2:$D$8,MATCH(L127,고장심각도분류!$B$2:$B$8,0)),"")</f>
        <v>10</v>
      </c>
      <c r="P127" s="4" t="str">
        <f t="shared" si="6"/>
        <v>Y</v>
      </c>
      <c r="Q127" s="4" t="s">
        <v>419</v>
      </c>
      <c r="R127" s="4"/>
      <c r="S127" s="4"/>
      <c r="T127" s="4" t="str">
        <f t="shared" si="7"/>
        <v>확인필요</v>
      </c>
    </row>
    <row r="128" spans="1:20" s="6" customFormat="1" ht="25.5" customHeight="1">
      <c r="A128" s="4" t="s">
        <v>420</v>
      </c>
      <c r="B128" s="5">
        <v>46105</v>
      </c>
      <c r="C128" s="4">
        <v>114</v>
      </c>
      <c r="D128" s="4">
        <v>1114</v>
      </c>
      <c r="E128" s="4">
        <v>2</v>
      </c>
      <c r="F128" s="4" t="s">
        <v>233</v>
      </c>
      <c r="G128" s="4">
        <v>1996</v>
      </c>
      <c r="H128" s="4" t="s">
        <v>89</v>
      </c>
      <c r="I128" s="4" t="s">
        <v>307</v>
      </c>
      <c r="J128" s="4">
        <v>1991</v>
      </c>
      <c r="K128" s="4" t="s">
        <v>89</v>
      </c>
      <c r="L128" s="4" t="s">
        <v>51</v>
      </c>
      <c r="M128" s="4" t="str">
        <f>IFERROR(INDEX(고장심각도분류!$A$2:$A$8,MATCH(L128,고장심각도분류!$B$2:$B$8,0)),"")</f>
        <v>FC05</v>
      </c>
      <c r="N128" s="4">
        <f>IFERROR(INDEX(고장심각도분류!$C$2:$C$8,MATCH(L128,고장심각도분류!$B$2:$B$8,0)),"")</f>
        <v>7</v>
      </c>
      <c r="O128" s="4">
        <f>IFERROR(INDEX(고장심각도분류!$D$2:$D$8,MATCH(L128,고장심각도분류!$B$2:$B$8,0)),"")</f>
        <v>100</v>
      </c>
      <c r="P128" s="4" t="str">
        <f t="shared" si="6"/>
        <v>Y</v>
      </c>
      <c r="Q128" s="4" t="s">
        <v>164</v>
      </c>
      <c r="R128" s="4"/>
      <c r="S128" s="4"/>
      <c r="T128" s="4" t="str">
        <f t="shared" si="7"/>
        <v>확인필요</v>
      </c>
    </row>
    <row r="129" spans="1:20" s="6" customFormat="1" ht="25.5" customHeight="1">
      <c r="A129" s="4" t="s">
        <v>421</v>
      </c>
      <c r="B129" s="5">
        <v>46119</v>
      </c>
      <c r="C129" s="4">
        <v>114</v>
      </c>
      <c r="D129" s="4">
        <v>1214</v>
      </c>
      <c r="E129" s="4">
        <v>1</v>
      </c>
      <c r="F129" s="4" t="s">
        <v>422</v>
      </c>
      <c r="G129" s="4">
        <v>1989</v>
      </c>
      <c r="H129" s="4" t="s">
        <v>91</v>
      </c>
      <c r="I129" s="4" t="s">
        <v>392</v>
      </c>
      <c r="J129" s="4">
        <v>1988</v>
      </c>
      <c r="K129" s="4" t="s">
        <v>89</v>
      </c>
      <c r="L129" s="4" t="s">
        <v>27</v>
      </c>
      <c r="M129" s="4" t="str">
        <f>IFERROR(INDEX(고장심각도분류!$A$2:$A$8,MATCH(L129,고장심각도분류!$B$2:$B$8,0)),"")</f>
        <v>FC02</v>
      </c>
      <c r="N129" s="4">
        <f>IFERROR(INDEX(고장심각도분류!$C$2:$C$8,MATCH(L129,고장심각도분류!$B$2:$B$8,0)),"")</f>
        <v>4</v>
      </c>
      <c r="O129" s="4">
        <f>IFERROR(INDEX(고장심각도분류!$D$2:$D$8,MATCH(L129,고장심각도분류!$B$2:$B$8,0)),"")</f>
        <v>20</v>
      </c>
      <c r="P129" s="4" t="str">
        <f t="shared" si="6"/>
        <v>Y</v>
      </c>
      <c r="Q129" s="4" t="s">
        <v>423</v>
      </c>
      <c r="R129" s="4"/>
      <c r="S129" s="4"/>
      <c r="T129" s="4" t="str">
        <f t="shared" si="7"/>
        <v>확인필요</v>
      </c>
    </row>
  </sheetData>
  <phoneticPr fontId="3" type="noConversion"/>
  <conditionalFormatting sqref="N2:N129">
    <cfRule type="cellIs" dxfId="25" priority="1" operator="greaterThanOrEqual">
      <formula>7</formula>
    </cfRule>
    <cfRule type="cellIs" dxfId="24" priority="2" operator="between">
      <formula>5</formula>
    </cfRule>
    <cfRule type="cellIs" dxfId="23" priority="3" operator="between">
      <formula>3</formula>
    </cfRule>
  </conditionalFormatting>
  <conditionalFormatting sqref="R2:R129">
    <cfRule type="expression" dxfId="22" priority="4">
      <formula>OR($R2="정비불가",$R2="폐기/불용")</formula>
    </cfRule>
  </conditionalFormatting>
  <conditionalFormatting sqref="T2:T129">
    <cfRule type="expression" dxfId="21" priority="5">
      <formula>$T2="확인필요"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고장심각도분류!$B$2:$B$8</xm:f>
          </x14:formula1>
          <xm:sqref>L2:L129</xm:sqref>
        </x14:dataValidation>
        <x14:dataValidation type="list" xr:uid="{00000000-0002-0000-0100-000001000000}">
          <x14:formula1>
            <xm:f>고장심각도분류!$J$2:$J$10</xm:f>
          </x14:formula1>
          <xm:sqref>R2:R129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D4" sqref="D4"/>
    </sheetView>
  </sheetViews>
  <sheetFormatPr defaultRowHeight="14.25"/>
  <cols>
    <col min="1" max="1" width="10" customWidth="1"/>
    <col min="2" max="2" width="28" style="10" customWidth="1"/>
    <col min="3" max="3" width="9" customWidth="1"/>
    <col min="4" max="4" width="11" customWidth="1"/>
    <col min="5" max="5" width="10" customWidth="1"/>
    <col min="6" max="6" width="24" customWidth="1"/>
    <col min="7" max="7" width="42" customWidth="1"/>
    <col min="8" max="8" width="18" customWidth="1"/>
    <col min="10" max="10" width="20" customWidth="1"/>
    <col min="11" max="11" width="34" customWidth="1"/>
  </cols>
  <sheetData>
    <row r="1" spans="1:1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</row>
    <row r="2" spans="1:11" s="6" customFormat="1" ht="29.1" customHeight="1">
      <c r="A2" s="4" t="s">
        <v>10</v>
      </c>
      <c r="B2" s="4" t="s">
        <v>11</v>
      </c>
      <c r="C2" s="4">
        <v>1</v>
      </c>
      <c r="D2" s="4">
        <v>0</v>
      </c>
      <c r="E2" s="4" t="s">
        <v>12</v>
      </c>
      <c r="F2" s="4" t="s">
        <v>13</v>
      </c>
      <c r="G2" s="8" t="s">
        <v>14</v>
      </c>
      <c r="H2" s="4" t="s">
        <v>15</v>
      </c>
      <c r="I2" s="4"/>
      <c r="J2" s="4" t="s">
        <v>16</v>
      </c>
      <c r="K2" s="4" t="s">
        <v>17</v>
      </c>
    </row>
    <row r="3" spans="1:11" s="6" customFormat="1" ht="29.1" customHeight="1">
      <c r="A3" s="4" t="s">
        <v>18</v>
      </c>
      <c r="B3" s="4" t="s">
        <v>19</v>
      </c>
      <c r="C3" s="4">
        <v>3</v>
      </c>
      <c r="D3" s="4">
        <v>10</v>
      </c>
      <c r="E3" s="4" t="s">
        <v>20</v>
      </c>
      <c r="F3" s="4" t="s">
        <v>21</v>
      </c>
      <c r="G3" s="8" t="s">
        <v>22</v>
      </c>
      <c r="H3" s="4" t="s">
        <v>23</v>
      </c>
      <c r="I3" s="4"/>
      <c r="J3" s="4" t="s">
        <v>24</v>
      </c>
      <c r="K3" s="4" t="s">
        <v>25</v>
      </c>
    </row>
    <row r="4" spans="1:11" s="6" customFormat="1" ht="29.1" customHeight="1">
      <c r="A4" s="4" t="s">
        <v>26</v>
      </c>
      <c r="B4" s="4" t="s">
        <v>27</v>
      </c>
      <c r="C4" s="4">
        <v>4</v>
      </c>
      <c r="D4" s="4">
        <v>20</v>
      </c>
      <c r="E4" s="4" t="s">
        <v>28</v>
      </c>
      <c r="F4" s="4" t="s">
        <v>29</v>
      </c>
      <c r="G4" s="8" t="s">
        <v>30</v>
      </c>
      <c r="H4" s="4" t="s">
        <v>31</v>
      </c>
      <c r="I4" s="4"/>
      <c r="J4" s="4" t="s">
        <v>32</v>
      </c>
      <c r="K4" s="4" t="s">
        <v>33</v>
      </c>
    </row>
    <row r="5" spans="1:11" s="6" customFormat="1" ht="29.1" customHeight="1">
      <c r="A5" s="4" t="s">
        <v>34</v>
      </c>
      <c r="B5" s="4" t="s">
        <v>35</v>
      </c>
      <c r="C5" s="4">
        <v>5</v>
      </c>
      <c r="D5" s="4">
        <v>45</v>
      </c>
      <c r="E5" s="4" t="s">
        <v>36</v>
      </c>
      <c r="F5" s="4" t="s">
        <v>37</v>
      </c>
      <c r="G5" s="8" t="s">
        <v>38</v>
      </c>
      <c r="H5" s="4" t="s">
        <v>39</v>
      </c>
      <c r="I5" s="4"/>
      <c r="J5" s="4" t="s">
        <v>40</v>
      </c>
      <c r="K5" s="4" t="s">
        <v>41</v>
      </c>
    </row>
    <row r="6" spans="1:11" s="6" customFormat="1" ht="29.1" customHeight="1">
      <c r="A6" s="4" t="s">
        <v>42</v>
      </c>
      <c r="B6" s="4" t="s">
        <v>43</v>
      </c>
      <c r="C6" s="4">
        <v>6</v>
      </c>
      <c r="D6" s="4">
        <v>70</v>
      </c>
      <c r="E6" s="4" t="s">
        <v>44</v>
      </c>
      <c r="F6" s="4" t="s">
        <v>45</v>
      </c>
      <c r="G6" s="8" t="s">
        <v>46</v>
      </c>
      <c r="H6" s="4" t="s">
        <v>47</v>
      </c>
      <c r="I6" s="4"/>
      <c r="J6" s="4" t="s">
        <v>48</v>
      </c>
      <c r="K6" s="4" t="s">
        <v>49</v>
      </c>
    </row>
    <row r="7" spans="1:11" s="6" customFormat="1" ht="29.1" customHeight="1">
      <c r="A7" s="4" t="s">
        <v>50</v>
      </c>
      <c r="B7" s="4" t="s">
        <v>51</v>
      </c>
      <c r="C7" s="4">
        <v>7</v>
      </c>
      <c r="D7" s="4">
        <v>100</v>
      </c>
      <c r="E7" s="4" t="s">
        <v>52</v>
      </c>
      <c r="F7" s="4" t="s">
        <v>53</v>
      </c>
      <c r="G7" s="8" t="s">
        <v>54</v>
      </c>
      <c r="H7" s="4" t="s">
        <v>55</v>
      </c>
      <c r="I7" s="4"/>
      <c r="J7" s="4" t="s">
        <v>56</v>
      </c>
      <c r="K7" s="4" t="s">
        <v>57</v>
      </c>
    </row>
    <row r="8" spans="1:11" s="6" customFormat="1" ht="29.1" customHeight="1">
      <c r="A8" s="4" t="s">
        <v>58</v>
      </c>
      <c r="B8" s="4" t="s">
        <v>59</v>
      </c>
      <c r="C8" s="4">
        <v>2</v>
      </c>
      <c r="D8" s="4">
        <v>5</v>
      </c>
      <c r="E8" s="4" t="s">
        <v>12</v>
      </c>
      <c r="F8" s="4" t="s">
        <v>60</v>
      </c>
      <c r="G8" s="8" t="s">
        <v>59</v>
      </c>
      <c r="H8" s="4" t="s">
        <v>61</v>
      </c>
      <c r="I8" s="4"/>
      <c r="J8" s="4" t="s">
        <v>62</v>
      </c>
      <c r="K8" s="4" t="s">
        <v>63</v>
      </c>
    </row>
    <row r="9" spans="1:11">
      <c r="A9" s="3"/>
      <c r="B9" s="9"/>
      <c r="C9" s="3"/>
      <c r="D9" s="3"/>
      <c r="E9" s="3"/>
      <c r="F9" s="3"/>
      <c r="G9" s="3"/>
      <c r="H9" s="3"/>
      <c r="I9" s="3"/>
      <c r="J9" s="3" t="s">
        <v>64</v>
      </c>
      <c r="K9" s="3" t="s">
        <v>65</v>
      </c>
    </row>
    <row r="10" spans="1:11">
      <c r="A10" s="3"/>
      <c r="B10" s="9"/>
      <c r="C10" s="3"/>
      <c r="D10" s="3"/>
      <c r="E10" s="3"/>
      <c r="F10" s="3"/>
      <c r="G10" s="3"/>
      <c r="H10" s="3"/>
      <c r="I10" s="3"/>
      <c r="J10" s="3" t="s">
        <v>59</v>
      </c>
      <c r="K10" s="3" t="s">
        <v>66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교체현황_DB</vt:lpstr>
      <vt:lpstr>고장심각도분류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 cha</dc:creator>
  <cp:lastModifiedBy>Seoul Metro</cp:lastModifiedBy>
  <dcterms:created xsi:type="dcterms:W3CDTF">2026-05-29T05:47:12Z</dcterms:created>
  <dcterms:modified xsi:type="dcterms:W3CDTF">2026-08-12T00:42:21Z</dcterms:modified>
</cp:coreProperties>
</file>